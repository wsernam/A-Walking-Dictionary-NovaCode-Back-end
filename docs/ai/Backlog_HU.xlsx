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Historias de usuario" sheetId="2" r:id="rId6"/>
    <sheet state="visible" name="Criterios de aceptación" sheetId="3" r:id="rId7"/>
    <sheet state="visible" name="Metrica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tc={7f94be80-43ad-4feb-95c9-6da2ef7b1905}</author>
  </authors>
  <commentList>
    <comment authorId="0" xr:uid="{7f94be80-43ad-4feb-95c9-6da2ef7b1905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corregir
</t>
      </text>
    </comment>
  </commentList>
</comments>
</file>

<file path=xl/sharedStrings.xml><?xml version="1.0" encoding="utf-8"?>
<sst xmlns="http://schemas.openxmlformats.org/spreadsheetml/2006/main" count="615" uniqueCount="455">
  <si>
    <t>çç</t>
  </si>
  <si>
    <t>Sprint</t>
  </si>
  <si>
    <t xml:space="preserve"> </t>
  </si>
  <si>
    <t>Prioridad</t>
  </si>
  <si>
    <t>ID Épica</t>
  </si>
  <si>
    <t>ID HE</t>
  </si>
  <si>
    <t>Nombre HE</t>
  </si>
  <si>
    <t>Estimación de Riesgo</t>
  </si>
  <si>
    <t>Nombre Épica</t>
  </si>
  <si>
    <t>Estimación de Valor</t>
  </si>
  <si>
    <t>Funcionalidad Clave</t>
  </si>
  <si>
    <t>ID Historia Usuario</t>
  </si>
  <si>
    <t>Estimación de Esfuerzo</t>
  </si>
  <si>
    <t>Resultado Esperado</t>
  </si>
  <si>
    <t>Esfuerzo Restante</t>
  </si>
  <si>
    <t>ID Criterio</t>
  </si>
  <si>
    <t>Criterio de Aceptación</t>
  </si>
  <si>
    <t>Historia de Usuario</t>
  </si>
  <si>
    <t>Estado</t>
  </si>
  <si>
    <t>Contexto - Dado</t>
  </si>
  <si>
    <t>Evento - Cuando</t>
  </si>
  <si>
    <t>Tareas Técnicas</t>
  </si>
  <si>
    <t>Resultado - Entonces</t>
  </si>
  <si>
    <t>Estimación inicial de esfuerzo</t>
  </si>
  <si>
    <t>Alta</t>
  </si>
  <si>
    <t>HU asignadas</t>
  </si>
  <si>
    <t>HU completadas</t>
  </si>
  <si>
    <t>HE-01</t>
  </si>
  <si>
    <t>Gestión curricular de mazos y vocabulario</t>
  </si>
  <si>
    <t>Alto</t>
  </si>
  <si>
    <t>SP completados</t>
  </si>
  <si>
    <t>Metricas</t>
  </si>
  <si>
    <t>Días</t>
  </si>
  <si>
    <t>Velocidad SP/dia</t>
  </si>
  <si>
    <t>Sprint 1</t>
  </si>
  <si>
    <t>HU-001</t>
  </si>
  <si>
    <t>Gestión Curricular de Mazos y Vocabulario</t>
  </si>
  <si>
    <t>CA-1.1</t>
  </si>
  <si>
    <t>Crear mazos precargados por semana</t>
  </si>
  <si>
    <t>Estructurar repositorio semanal de lecturas</t>
  </si>
  <si>
    <t>Creación exitosa de mazo</t>
  </si>
  <si>
    <t>Como docente del curso, quiero crear la estructura de mazos por semana/libro al inicio del semestre, para organizar el vocabulario según el cronograma lectivo.</t>
  </si>
  <si>
    <t>Completado</t>
  </si>
  <si>
    <t>Pendiente</t>
  </si>
  <si>
    <t>Endpoint POST /api/v1/decks en Node.js, formulario de creación de mazos en React, persistencia en PostgreSQL.</t>
  </si>
  <si>
    <t>Dado que el docente se encuentra en el formulario de creación de mazos</t>
  </si>
  <si>
    <t>HE-02</t>
  </si>
  <si>
    <t>Cuando ingresa el nombre de la lectura, semana, autor y variante regional válida</t>
  </si>
  <si>
    <t>Supervisión y curaduría pedagógica docente</t>
  </si>
  <si>
    <t>Entonces el sistema crea el mazo precargado en estado abierto y lo asocia al cronograma</t>
  </si>
  <si>
    <t>HE-03</t>
  </si>
  <si>
    <t>Evaluación automatizada y exportación</t>
  </si>
  <si>
    <t>Registrar palabra en mazo compartido</t>
  </si>
  <si>
    <t>Aportar término, definición y ejemplo</t>
  </si>
  <si>
    <t>HU-002</t>
  </si>
  <si>
    <t>HE-04</t>
  </si>
  <si>
    <t>CA-1.2</t>
  </si>
  <si>
    <t>Como estudiante del curso, quiero registrar una palabra nueva en el mazo compartido ingresando traducción, definición y ejemplo corto, para contribuir al mazo grupal y al diccionario global</t>
  </si>
  <si>
    <t>Repaso adaptativo y enriquecimiento léxico</t>
  </si>
  <si>
    <t>Validación de datos obligatorios de mazo</t>
  </si>
  <si>
    <t>Dado que el docente intenta crear un mazo</t>
  </si>
  <si>
    <t>Cuando deja el nombre del libro o la semana vacíos</t>
  </si>
  <si>
    <t>Endpoint POST /api/v1/decks/{id}/cards en Node.js, validación de 150 caracteres en React, tablas tarjetas y aportes.</t>
  </si>
  <si>
    <t>Entonces el sistema impide la creación y muestra un mensaje de validación</t>
  </si>
  <si>
    <t>Sprint 2</t>
  </si>
  <si>
    <t>CA-1.3</t>
  </si>
  <si>
    <t>HE-05</t>
  </si>
  <si>
    <t>Control de estado de mazo</t>
  </si>
  <si>
    <t>Gestión de usuarios, perfiles e inscripción a cursos</t>
  </si>
  <si>
    <t>Detectar aportes duplicados</t>
  </si>
  <si>
    <t>Dado que el docente visualiza los mazos creados</t>
  </si>
  <si>
    <t>Prevenir duplicados y anexar definiciones</t>
  </si>
  <si>
    <t>HU-003</t>
  </si>
  <si>
    <t>Cuando cambia el estado de un mazo a "Cerrado"</t>
  </si>
  <si>
    <t>Entonces el sistema inhabilita la recepción de nuevos aportes de los estudiantes para ese mazo</t>
  </si>
  <si>
    <t>Como estudiante, quiero que el sistema me alerte si una palabra ya fue aportada en el mazo, para evitar duplicados exactos o anexar una acepción adicional.</t>
  </si>
  <si>
    <t>Endpoint POST /api/v1/cards/check-duplicate en Node.js, modal de advertencia/coautoría en React.</t>
  </si>
  <si>
    <t>Media</t>
  </si>
  <si>
    <t>HE-06</t>
  </si>
  <si>
    <t>Consulta centralizada de vocabulario y mazos</t>
  </si>
  <si>
    <t>CA-2.1</t>
  </si>
  <si>
    <t>Registro exitoso de aporte</t>
  </si>
  <si>
    <t>Medio</t>
  </si>
  <si>
    <t>Dado que el estudiante está inscrito en el curso y el mazo de la semana está en estado "abierto"</t>
  </si>
  <si>
    <t>Cuando ingresa palabra, traducción y definición (obligatorios), con un ejemplo opcional de máximo 150 caracteres</t>
  </si>
  <si>
    <t>Supervisión y Curaduría Pedagógica Docente</t>
  </si>
  <si>
    <t>Entonces el sistema crea la tarjeta en estado "pendiente_revision" y registra el aporte asociado al estudiante</t>
  </si>
  <si>
    <t>HE-07</t>
  </si>
  <si>
    <t>Generación de reportes</t>
  </si>
  <si>
    <t>Revisar y aprobar tarjetas</t>
  </si>
  <si>
    <t>CA-2.2</t>
  </si>
  <si>
    <t>Garantizar calidad del vocabulario</t>
  </si>
  <si>
    <t>Validación de campos obligatorios</t>
  </si>
  <si>
    <t>HU-004</t>
  </si>
  <si>
    <t>Dado que el estudiante intenta registrar una palabra</t>
  </si>
  <si>
    <t>Como docente del curso, quiero revisar, editar y aprobar las tarjetas ingresadas por los estudiantes, para garantizar que el vocabulario sea correcto.</t>
  </si>
  <si>
    <t>Cuando deja vacío alguno de los campos obligatorios (palabra, traducción o definición)</t>
  </si>
  <si>
    <t>Entonces el sistema impide el registro y muestra un mensaje indicando qué campo falta</t>
  </si>
  <si>
    <t>Endpoint PATCH /api/v1/cards/{id}/approve en Node.js, panel de curaduría con filtros en React.</t>
  </si>
  <si>
    <t>Sprint 3</t>
  </si>
  <si>
    <t>CA-2.3</t>
  </si>
  <si>
    <t>Bloqueo por mazo cerrado</t>
  </si>
  <si>
    <t>Cuando el mazo de esa semana ya está en estado "cerrado"</t>
  </si>
  <si>
    <t>Sprint 4</t>
  </si>
  <si>
    <t>Asignar etiquetas de contexto cultural</t>
  </si>
  <si>
    <t>Entonces el sistema rechaza el aporte y notifica que el mazo ya no acepta nuevas palabras</t>
  </si>
  <si>
    <t>Enriquecer matices dialectales y registro</t>
  </si>
  <si>
    <t>HU-005</t>
  </si>
  <si>
    <t>Como docente del curso, quiero asignar etiquetas de contexto cultural, registro y variante regional, para enriquecer el matiz pedagógico durante la clase.</t>
  </si>
  <si>
    <t>Endpoint PUT /api/v1/cards/{id}/context en Node.js, selector de etiquetas en React, tabla etiquetas_contexto.</t>
  </si>
  <si>
    <t>Visualizar resumen de participación</t>
  </si>
  <si>
    <t>Seguimiento formativo del estudiante</t>
  </si>
  <si>
    <t>HU-006</t>
  </si>
  <si>
    <t>CA-3.1</t>
  </si>
  <si>
    <t>Como docente del curso, quiero visualizar un resumen de la participación individual por mazo y semana, para realizar el seguimiento formativo.</t>
  </si>
  <si>
    <t>Duplicado exacto (misma palabra y definición)</t>
  </si>
  <si>
    <t>Dado que un estudiante intenta registrar una palabra</t>
  </si>
  <si>
    <t>Acumulado</t>
  </si>
  <si>
    <t>Endpoint GET /api/v1/teacher/analytics/deck/{id} en Node.js, tabla analítica de seguimiento en React.</t>
  </si>
  <si>
    <t>Cuando esa palabra ya existe en el mazo con exactamente la misma definición</t>
  </si>
  <si>
    <t>Entonces el sistema no crea una tarjeta nueva, sino que suma al estudiante como coautor del aporte existente</t>
  </si>
  <si>
    <t>CA-3.2</t>
  </si>
  <si>
    <t>Duplicado parcial (misma palabra, definición distinta)</t>
  </si>
  <si>
    <t>Cuando esa palabra ya existe en el mazo pero con una definición o ejemplo diferente</t>
  </si>
  <si>
    <t>Evaluación Automatizada y Exportación</t>
  </si>
  <si>
    <t>Entonces el sistema permite guardarla como una acepción adicional de esa misma palabra, sin sobrescribir la existente</t>
  </si>
  <si>
    <t>Generar quices acumulativos</t>
  </si>
  <si>
    <t>Evaluación integral del vocabulario</t>
  </si>
  <si>
    <t>CA-3.3</t>
  </si>
  <si>
    <t>HU-007</t>
  </si>
  <si>
    <t>Insensibilidad a mayúsculas/minúsculas</t>
  </si>
  <si>
    <t>Como docente del curso, quiero generar un quiz automático acumulativo a partir de todas las tarjetas aprobadas hasta la fecha y poder visualizarlos, para evaluar el aprendizaje continuo.</t>
  </si>
  <si>
    <t>Dado que el sistema compara la palabra ingresada contra las existentes en el mazo</t>
  </si>
  <si>
    <t>Cuando la palabra coincide ignorando diferencias de mayúsculas/minúsculas (ej. "Cooking" vs "cooking")</t>
  </si>
  <si>
    <t>Endpoint POST /api/v1/quizzes/generate en Node.js, selección aleatoria de tarjetas, pantalla de configuración en React.</t>
  </si>
  <si>
    <t>Entonces el sistema las trata como la misma palabra para efectos de la comparación de duplicados</t>
  </si>
  <si>
    <t>CA-3.4</t>
  </si>
  <si>
    <t>Responder quiz y recibir nota</t>
  </si>
  <si>
    <t>Medir nivel de dominio individual</t>
  </si>
  <si>
    <t>Notificación al estudiante</t>
  </si>
  <si>
    <t>HU-008</t>
  </si>
  <si>
    <t>Dado que el sistema detecta una coincidencia (exacta o parcial)</t>
  </si>
  <si>
    <t>Como estudiante, quiero responder el quiz asignado desde la aplicación, recibir mi calificación inmediata, para conocer mi nivel de dominio y poder visualizar los quices anteriores.</t>
  </si>
  <si>
    <t>Cuando el estudiante envía el formulario de registro</t>
  </si>
  <si>
    <t>Entonces el sistema muestra una alerta antes de confirmar, explicando si será coautoría o una acepción nueva</t>
  </si>
  <si>
    <t>Endpoint POST /api/v1/quizzes/{id}/submit en Node.js, interfaz con temporizador en React, tabla resultados_quiz</t>
  </si>
  <si>
    <t>Exportar mazos y quices a PDF</t>
  </si>
  <si>
    <t>Material impreso ante contingencias</t>
  </si>
  <si>
    <t>HU-009</t>
  </si>
  <si>
    <t>Como docente del curso, quiero exportar los mazos de vocabulario y las pruebas a archivos PDF, para fotocopiar el material ante imprevistos en aula sin conectividad.</t>
  </si>
  <si>
    <t>Endpoint GET /api/v1/decks/{id}/export-pdf en Node.js usando pdf-lib, botón de descarga en React.</t>
  </si>
  <si>
    <t>CA-4.1</t>
  </si>
  <si>
    <t>Filtrado de tarjetas pendientes</t>
  </si>
  <si>
    <t>Repaso Adaptativo y Enriquecimiento Léxico</t>
  </si>
  <si>
    <t>Dado que la docente accede al panel de curaduría pedagógica</t>
  </si>
  <si>
    <t>Cuando selecciona el mazo de la semana o aplica el filtro "pendiente_revision"</t>
  </si>
  <si>
    <t>Entonces el sistema despliega el listado exclusivo de tarjetas ingresadas por estudiantes que requieren revisión</t>
  </si>
  <si>
    <t>Estudiar con repetición espaciada</t>
  </si>
  <si>
    <t>Afianzar retención a largo plazo</t>
  </si>
  <si>
    <t>HU-010</t>
  </si>
  <si>
    <t>Como estudiante, quiero estudiar los mazos compartidos mediante una sesión con repetición espaciada, para afianzar el vocabulario acumulado.</t>
  </si>
  <si>
    <t>Endpoint POST /api/v1/study/review-session en Node.js, algoritmo SM-2, interfaz interactiva de flashcards en React.</t>
  </si>
  <si>
    <t>CA-4.2</t>
  </si>
  <si>
    <t>Edición y aprobación de tarjeta</t>
  </si>
  <si>
    <t>Dado que la docente está revisando una tarjeta en estado "pendiente_revision"</t>
  </si>
  <si>
    <t>Cuando corrige la ortografía, ajusta la definición y presiona "Aprobar"</t>
  </si>
  <si>
    <t>Entonces el sistema actualiza el estado de la tarjeta a "revisado_docente" y la habilita para ser incluida en quices</t>
  </si>
  <si>
    <t>Sugerir familias de palabras</t>
  </si>
  <si>
    <t>Ampliación léxica mediante WordNet</t>
  </si>
  <si>
    <t>CA-4.3</t>
  </si>
  <si>
    <t>HU-011</t>
  </si>
  <si>
    <t>Rechazo o solicitud de corrección</t>
  </si>
  <si>
    <t>Como estudiante, quiero recibir sugerencias de palabras relacionadas por campo semántico al consultar una tarjeta, para ampliar mi léxico.</t>
  </si>
  <si>
    <t>Dado que la docente identifica una tarjeta con información errónea o inapropiada</t>
  </si>
  <si>
    <t>Endpoint GET /api/v1/enrichment/family/{word} en Node.js integrando node-wordnet, tabla wordnet_cache en PostgreSQL.</t>
  </si>
  <si>
    <t>Cuando selecciona la opción "Rechazar" e ingresa una observación</t>
  </si>
  <si>
    <t>Entonces la tarjeta cambia a estado "rechazada" y se le notifica al estudiante aportante para su corrección</t>
  </si>
  <si>
    <t>Gestión de Usuarios, Perfiles e Inscripción</t>
  </si>
  <si>
    <t>CA-5.1</t>
  </si>
  <si>
    <t>Selección de variante regional y registro</t>
  </si>
  <si>
    <t>Dado que la docente edita una tarjeta en el panel de curaduría o durante la discusión en clase</t>
  </si>
  <si>
    <t>Cuando selecciona el registro (ej. Formal, Informal, Slang) y variante dialectal (ej. Inglés Ghanés, Jamaicano)</t>
  </si>
  <si>
    <t>Registro de estudiante</t>
  </si>
  <si>
    <t>Entonces el sistema guarda las etiquetas vinculadas a la tarjeta y las muestra visualmente en el mazo</t>
  </si>
  <si>
    <t>Crear cuenta personal e ingresar al sistema</t>
  </si>
  <si>
    <t>HU-012</t>
  </si>
  <si>
    <t>CA-5.2</t>
  </si>
  <si>
    <t>Asignación masiva por mazo</t>
  </si>
  <si>
    <t>Dado que la docente configura la variante regional a nivel del mazo curricular</t>
  </si>
  <si>
    <t>Cuando guarda los cambios del mazo</t>
  </si>
  <si>
    <t>Como estudiante, quiero registrarme autónomamente en la plataforma utilizando mis datos personales y correo electrónico institucional, para crear una cuenta que me permita acceder posteriormente mediante Google OAuth.</t>
  </si>
  <si>
    <t>Entonces todas las tarjetas pertenecientes a dicho mazo heredan automáticamente esa etiqueta dialectal como valor predeterminado</t>
  </si>
  <si>
    <t>Endpoint POST /api/v1/auth/register en Node.js, validación de correo institucional y datos obligatorios, asignación automática del rol estudiante.</t>
  </si>
  <si>
    <t>CA-5.3</t>
  </si>
  <si>
    <t>Visualización de contexto por estudiante</t>
  </si>
  <si>
    <t>Dado que un estudiante consulta una tarjeta aprobada en la biblioteca o sesión de estudio</t>
  </si>
  <si>
    <t>Cuando abre el detalle de la palabra</t>
  </si>
  <si>
    <t>Entonces el sistema despliega destacadamente las etiquetas de registro y variante regional asignadas por la docente</t>
  </si>
  <si>
    <t>Configurar perfil académico</t>
  </si>
  <si>
    <t>Registro de nivel MCER, código e intereses</t>
  </si>
  <si>
    <t>HU-013</t>
  </si>
  <si>
    <t>CA-6.1</t>
  </si>
  <si>
    <t>Generación de métricas de participación por mazo</t>
  </si>
  <si>
    <t>Dado que la docente accede al módulo de analíticas del curso</t>
  </si>
  <si>
    <t>Como estudiante registrado, quiero configurar mi perfil académico (nivel MCER, código y preferencias), para que la docente conozca mis antecedentes.</t>
  </si>
  <si>
    <t>Cuando selecciona un mazo semanal específico</t>
  </si>
  <si>
    <t>Entonces el sistema muestra la tabla con el listado de estudiantes, número de palabras aportadas, coautorías y estado de revisión</t>
  </si>
  <si>
    <t>Endpoint PATCH /api/v1/users/profile en Node.js, interfaz de configuración en React, almacenamiento en tabla usuarios.</t>
  </si>
  <si>
    <t>CA-6.2</t>
  </si>
  <si>
    <t>Consulta de informe de cumplimiento</t>
  </si>
  <si>
    <t>Dado que la docente requiere verificar qué estudiantes no han cumplido con el aporte semanal</t>
  </si>
  <si>
    <t>Cuando aplica el filtro "Sin aportes"</t>
  </si>
  <si>
    <t>Inscribir o asignar a cursos</t>
  </si>
  <si>
    <t>Vincular estudiante con su grupo lectivo</t>
  </si>
  <si>
    <t>Entonces el sistema resalta los estudiantes pendientes dentro del cronograma activo</t>
  </si>
  <si>
    <t>HU-014</t>
  </si>
  <si>
    <t>Como docente o estudiante, quiero gestionar la inscripción a un curso mediante código de acceso o asignación directa, para vincular al estudiante con su grupo.</t>
  </si>
  <si>
    <t>Endpoints POST /api/v1/courses/enroll y POST /api/v1/courses/{id}/assign en Node.js, modal en React, tabla inscripciones.</t>
  </si>
  <si>
    <t>CA-6.3</t>
  </si>
  <si>
    <t>Actualización en tiempo real de conteos</t>
  </si>
  <si>
    <t>Dado que un estudiante registra un nuevo aporte en el mazo de la semana</t>
  </si>
  <si>
    <t>Cuando la transacción se completa con éxito</t>
  </si>
  <si>
    <t>Entonces el contador de participación del estudiante se incrementa automáticamente en el panel docente</t>
  </si>
  <si>
    <t>Iniciar sesión y control de roles</t>
  </si>
  <si>
    <t>Acceso seguro y vistas según rol</t>
  </si>
  <si>
    <t>HU-015</t>
  </si>
  <si>
    <t>Como usuario de la plataforma, quiero iniciar sesión con mis credenciales y tener vistas según mi rol, para acceder a las funciones de Docente, Estudiante o Invitado.</t>
  </si>
  <si>
    <t>Endpoint POST /api/v1/auth/google en Node.js, autenticación mediante Google OAuth, validación del idToken y email verificado, generación de token JWT, middleware de autenticación y autorización por rol para las rutas protegidas.</t>
  </si>
  <si>
    <t>CA-7.1</t>
  </si>
  <si>
    <t>Consulta de vocabulario Global</t>
  </si>
  <si>
    <t>Selección de tarjetas aprobadas para evaluación</t>
  </si>
  <si>
    <t>Dado que la docente configura un nuevo quiz acumulativo quincenal</t>
  </si>
  <si>
    <t>Permitir la consulta centralizada del vocabulario aprobado por la docente</t>
  </si>
  <si>
    <t>Cuando selecciona el rango de semanas/mazos a evaluar y presiona "Generar Quiz"</t>
  </si>
  <si>
    <t>Entonces el sistema consulta exclusivamente las tarjetas en estado "revisado_docente" pertenecientes a dichos mazos</t>
  </si>
  <si>
    <t>HU-016</t>
  </si>
  <si>
    <t>CA-7.2</t>
  </si>
  <si>
    <t>Generación aleatoria de preguntas</t>
  </si>
  <si>
    <t>Como usuario de la plataforma, quiero consultar un diccionario global con las palabras aprobadas por la docente de los diferentes mazos del curso, pudiendo buscar y visualizar su traducción, definición, ejemplo y contexto, para reutilizar y estudiar el vocabulario acumulado durante el semestre.</t>
  </si>
  <si>
    <t>Dado que el sistema procesa el banco de tarjetas aprobadas</t>
  </si>
  <si>
    <t>Cuando crea la prueba de opción múltiple o asociación término-definición</t>
  </si>
  <si>
    <t>Entonces selecciona aleatoriamente los distractores entre el resto de términos aprobados sin repetir opciones</t>
  </si>
  <si>
    <t>Endpoint principal: GET /api/v1/dictionary                                               GET /api/v1/dictionary/{card_id}</t>
  </si>
  <si>
    <t>CA-7.3</t>
  </si>
  <si>
    <t>Configuración de parámetros de evaluación</t>
  </si>
  <si>
    <t>Dado que la docente crea la evaluación acumulativa</t>
  </si>
  <si>
    <t>Cuando define la fecha de apertura, fecha de cierre y tiempo límite en minutos</t>
  </si>
  <si>
    <t>Entonces el sistema registra el quiz en estado "programado" para ser publicado automáticamente en la fecha indicada</t>
  </si>
  <si>
    <t>Consulta de mazos de estudio</t>
  </si>
  <si>
    <t>Permitir la consulta centralizada de los mazos de estudios del curso</t>
  </si>
  <si>
    <t>HU-017</t>
  </si>
  <si>
    <t>CA-8.1</t>
  </si>
  <si>
    <t>Control de tiempo durante la prueba</t>
  </si>
  <si>
    <t>Dado que el estudiante inicia el quiz asignado dentro del periodo activo</t>
  </si>
  <si>
    <t>Como usuario de la plataforma, quiero consultar los mazos de estudio que pertenecen al curso</t>
  </si>
  <si>
    <t>Cuando transcurre el tiempo límite configurado</t>
  </si>
  <si>
    <t>Entonces el sistema envía automáticamente las respuestas contestadas hasta el momento y bloquea el formulario</t>
  </si>
  <si>
    <t>Endpoint principal: GET /api/v1/decks
GET /api/v1/decks/{id}</t>
  </si>
  <si>
    <t>CA-8.2</t>
  </si>
  <si>
    <t>Calificación e historial inmediato</t>
  </si>
  <si>
    <t>Dado que el estudiante completa y envía el quiz de manera autónoma</t>
  </si>
  <si>
    <t>Cuando presiona "Finalizar examen"</t>
  </si>
  <si>
    <t>Entonces el sistema calcula el puntaje, muestra el desglose de aciertos/errores y registra la calificación en su historial</t>
  </si>
  <si>
    <t>CA-8.3</t>
  </si>
  <si>
    <t>Restricción de reintento no autorizado</t>
  </si>
  <si>
    <t>Dado que un estudiante ya ha finalizado y enviado una prueba</t>
  </si>
  <si>
    <t>Cuando intenta acceder nuevamente al enlace del quiz</t>
  </si>
  <si>
    <t>Entonces el sistema le deniega el intento y le muestra el resumen del resultado obtenido previamente</t>
  </si>
  <si>
    <t>Reporte de progreso individual en PDF</t>
  </si>
  <si>
    <t>Documentar el avance integral de cada estudiante</t>
  </si>
  <si>
    <t>HU-018</t>
  </si>
  <si>
    <t>CA-9.1</t>
  </si>
  <si>
    <t>Como docente o estudiante, quiero descargar en PDF el reporte de progreso individual de un estudiante, con sus palabras aportadas, calificaciones de quices y avance de repaso, para hacer seguimiento a su desempeño; la docente sobre cualquier estudiante y el estudiante solo sobre el suyo.</t>
  </si>
  <si>
    <t>Generación de PDF de mazo semanal</t>
  </si>
  <si>
    <t>Dado que la docente o estudiante visualiza un mazo de estudio completado</t>
  </si>
  <si>
    <t>Cuando selecciona la opción "Exportar a PDF"</t>
  </si>
  <si>
    <t>Entonces el sistema genera un documento PDF maquetado con la lista ordenada de términos, traducciones, definiciones y contexto</t>
  </si>
  <si>
    <t>Endpoint GET /api/v1/reports/students/{id}/progress/export-pdf en Node.js usando pdf-lib, consulta de aporte, tarjeta, resultado_quiz y progreso_estudio en PostgreSQL, botón de descarga en React.</t>
  </si>
  <si>
    <t>CA-9.2</t>
  </si>
  <si>
    <t>Exportación de quiz impreso con clave de respuestas</t>
  </si>
  <si>
    <t>Dado que la docente selecciona un quiz acumulativo generado</t>
  </si>
  <si>
    <t>Cuando elige "Exportar versión impresa"</t>
  </si>
  <si>
    <t>Entonces el sistema descarga un PDF listo para fotocopiar con hoja de preguntas y una hoja separada de respuestas para la docente</t>
  </si>
  <si>
    <t>Reporte del modo de estudio en PDF</t>
  </si>
  <si>
    <t>CA-9.3</t>
  </si>
  <si>
    <t>Evidenciar la constancia de repaso y las palabras difíciles</t>
  </si>
  <si>
    <t>Formato optimizado para impresión</t>
  </si>
  <si>
    <t>HU-019</t>
  </si>
  <si>
    <t>Dado que el usuario descarga cualquiera de los documentos PDF</t>
  </si>
  <si>
    <t>Como docente o estudiante, quiero descargar en PDF un reporte del modo de estudio con repetición espaciada, para identificar la constancia de repaso y las palabras que presentan mayor dificultad; la docente sobre todos los estudiantes y el estudiante solo sobre su propio repaso.</t>
  </si>
  <si>
    <t>Cuando los abre o imprime</t>
  </si>
  <si>
    <t>Entonces el diseño mantiene márgenes académicos, tipografía legible y estructura limpia sin elementos web redundantes</t>
  </si>
  <si>
    <t>En progreso</t>
  </si>
  <si>
    <t>Endpoint GET /api/v1/reports/study-mode/export-pdf (parámetro opcional student_id) en Node.js usando pdf-lib, consulta de progreso_estudio e inscripcion en PostgreSQL, botón de descarga en React.</t>
  </si>
  <si>
    <t>Reporte de estudiantes del curso en PDF</t>
  </si>
  <si>
    <t>Consolidar aportes, notas y participación del grupo</t>
  </si>
  <si>
    <t>HU-020</t>
  </si>
  <si>
    <t>Como docente del curso, quiero descargar en PDF un reporte consolidado de los estudiantes del curso, con las palabras añadidas por cada uno, su nota en los quices y su participación, para evaluar el desempeño del grupo y tener un registro imprimible del seguimiento del semestre.</t>
  </si>
  <si>
    <t>Endpoint GET /api/v1/reports/students/export-pdf en Node.js usando pdf-lib, consulta de usuario, inscripcion, aporte, tarjeta y resultado_quiz en PostgreSQL, botón de descarga en el panel docente en React.</t>
  </si>
  <si>
    <t>CA-10.1</t>
  </si>
  <si>
    <t>Interacción de flashcards (Frente / Reverso)</t>
  </si>
  <si>
    <t>Reporte de resultados por quiz en PDF</t>
  </si>
  <si>
    <t>Analizar el dominio del vocabulario evaluado</t>
  </si>
  <si>
    <t>Dado que el estudiante inicia una sesión de estudio</t>
  </si>
  <si>
    <t>HU-021</t>
  </si>
  <si>
    <t>Cuando se presenta la tarjeta en pantalla</t>
  </si>
  <si>
    <t>Como docente del curso, quiero descargar en PDF el reporte de resultados de un quiz, con la calificación de cada estudiante y estadísticas del grupo, para analizar el nivel de dominio del vocabulario evaluado.</t>
  </si>
  <si>
    <t>Entonces muestra la palabra en inglés y al interactuar revela la traducción, definición y ejemplo de uso</t>
  </si>
  <si>
    <t>Endpoint GET /api/v1/reports/quizzes/{id}/results/export-pdf en Node.js usando pdf-lib, consulta de resultado_quiz, pregunta_quiz y respuesta_quiz en PostgreSQL, botón de descarga en React.</t>
  </si>
  <si>
    <t>CA-10.2</t>
  </si>
  <si>
    <t>Cálculo de intervalos de repetición SM-2</t>
  </si>
  <si>
    <t>Dado que el estudiante evalúa su nivel de recuerdo ("Repetir", "Difícil", "Buena", "Fácil")</t>
  </si>
  <si>
    <t>Cuando confirma la valoración</t>
  </si>
  <si>
    <t>Entonces el algoritmo SM-2 recalcula el factor de facilidad y programa la próxima fecha de repaso individual</t>
  </si>
  <si>
    <t>CA-10.3</t>
  </si>
  <si>
    <t>Reintroducción de fallos y resumen final</t>
  </si>
  <si>
    <t>Dado que el estudiante marca "Repetir" o finaliza el repaso de todas las tarjetas programadas</t>
  </si>
  <si>
    <t>Cuando ocurre el evento</t>
  </si>
  <si>
    <t>Entonces reintroduce la tarjeta fallada al final del bloque o muestra la pantalla con métricas de la sesión</t>
  </si>
  <si>
    <t>CA-11.1</t>
  </si>
  <si>
    <t>Consulta y despliegue de familias léxicas WordNet</t>
  </si>
  <si>
    <t>Dado que el estudiante solicita términos relacionados para una palabra</t>
  </si>
  <si>
    <t>Cuando la aplicación ejecuta la búsqueda mediante node-wordnet</t>
  </si>
  <si>
    <t>Entonces presenta las sugerencias agrupadas por categoría gramatical (sustantivo, verbo, adjetivo) y relaciones semánticas</t>
  </si>
  <si>
    <t>CA-11.2</t>
  </si>
  <si>
    <t>Optimización por caché en base de datos</t>
  </si>
  <si>
    <t>Dado que una palabra ya fue consultada previamente en WordNet por cualquier usuario</t>
  </si>
  <si>
    <t>Cuando se vuelve a solicitar la información léxica</t>
  </si>
  <si>
    <t>Entonces el sistema entrega los datos directamente desde la tabla wordnet_cache reduciendo latencia</t>
  </si>
  <si>
    <t>CA-11.3</t>
  </si>
  <si>
    <t>Fallback y adición de términos sugeridos</t>
  </si>
  <si>
    <t>Dado que el término no existe en WordNet o el estudiante desea incorporar una palabra sugerida</t>
  </si>
  <si>
    <t>Cuando selecciona la sugerencia</t>
  </si>
  <si>
    <t>Entonces precarga un formulario para registrarla o muestra una vista limpia si no hay coincidencias</t>
  </si>
  <si>
    <t>CA-12.1</t>
  </si>
  <si>
    <t>Registro autónomo con correo institucional</t>
  </si>
  <si>
    <t>Dado que un usuario no registrado ingresa al formulario de creación de cuenta</t>
  </si>
  <si>
    <t>cuando ingresa sus datos personales válidos y su correo institucional,</t>
  </si>
  <si>
    <t>entonces el sistema crea su cuenta con el rol Estudiante, sin solicitar contraseña.</t>
  </si>
  <si>
    <t>CA-12.2</t>
  </si>
  <si>
    <t xml:space="preserve">Validación de correo y duplicados </t>
  </si>
  <si>
    <t>Dado que el estudiante ingresa un correo duplicado, inválido o no institucional,</t>
  </si>
  <si>
    <t>Cuando intenta enviar el registro</t>
  </si>
  <si>
    <t>Entonces el sistema rechaza la solicitud e indica el error correspondiente</t>
  </si>
  <si>
    <t>CA-13.1</t>
  </si>
  <si>
    <t>Configuración de perfil académico y avatar</t>
  </si>
  <si>
    <t>Dado que el estudiante ingresa a "Mi Perfil"</t>
  </si>
  <si>
    <t>Cuando selecciona su nivel MCER (A1-C2), código estudiantil y carga su avatar</t>
  </si>
  <si>
    <t>Entonces el sistema actualiza la información en la tabla usuarios y refresca la interfaz</t>
  </si>
  <si>
    <t>CA-13.2</t>
  </si>
  <si>
    <t>Registro de preferencias de aprendizaje</t>
  </si>
  <si>
    <t>Dado que el estudiante edita las áreas a reforzar en su perfil</t>
  </si>
  <si>
    <t>Cuando guarda los cambios</t>
  </si>
  <si>
    <t>Entonces el sistema almacena las preferencias para orientar el seguimiento docente</t>
  </si>
  <si>
    <t>CA-14.1</t>
  </si>
  <si>
    <t>Inscripción vía código de acceso</t>
  </si>
  <si>
    <t>Dado que el estudiante ingresa el código proporcionado por la docente</t>
  </si>
  <si>
    <t>Cuando presiona "Unirse a curso"</t>
  </si>
  <si>
    <t>Entonces el sistema valida el código y lo vincula al grupo lectivo en la tabla inscripciones</t>
  </si>
  <si>
    <t>CA-14.2</t>
  </si>
  <si>
    <t>Inscripción directa por la docente</t>
  </si>
  <si>
    <t>Dado que la docente busca a un estudiante por correo en la administración del curso</t>
  </si>
  <si>
    <t>Cuando selecciona "Inscribir"</t>
  </si>
  <si>
    <t>Entonces el sistema asocia al estudiante y habilita su acceso a los mazos correspondientes</t>
  </si>
  <si>
    <t>CA-15.1</t>
  </si>
  <si>
    <t>Autenticación exitosa con tokens JWT</t>
  </si>
  <si>
    <t>Dado que un usuario ingresa credenciales válidas</t>
  </si>
  <si>
    <t>Cuando presiona "Iniciar Sesión"</t>
  </si>
  <si>
    <t>Entonces el sistema retorna un token JWT con los claims de rol y da acceso al Dashboard</t>
  </si>
  <si>
    <t>CA-15.2</t>
  </si>
  <si>
    <t>Control de acceso por roles a rutas protegidas</t>
  </si>
  <si>
    <t>Dado que un estudiante intenta acceder a una URL restringida a docentes</t>
  </si>
  <si>
    <t>Cuando el middleware evalúa el token JWT</t>
  </si>
  <si>
    <t>Entonces el sistema deniega el acceso con error HTTP 403 y redirige a la vista estudiantil</t>
  </si>
  <si>
    <t>CA-15.3</t>
  </si>
  <si>
    <t>Acceso en modo Invitado</t>
  </si>
  <si>
    <t>Dado que un usuario no registrado ingresa como invitado</t>
  </si>
  <si>
    <t>Cuando explora la aplicación</t>
  </si>
  <si>
    <t>Entonces el sistema le otorga acceso de solo lectura al diccionario demostrativo sin permitir edición</t>
  </si>
  <si>
    <t>CA-16.1</t>
  </si>
  <si>
    <t xml:space="preserve"> Consulta del vocabulario aprobado</t>
  </si>
  <si>
    <t>Dado que existen tarjetas de vocabulario aprobadas por la docente,</t>
  </si>
  <si>
    <t>cuando el estudiante ingresa al Diccionario Global,</t>
  </si>
  <si>
    <t>entonces el sistema muestra las palabras cuyo estado sea revisado_docente.</t>
  </si>
  <si>
    <t>CA-16.2</t>
  </si>
  <si>
    <t xml:space="preserve"> Búsqueda de palabras</t>
  </si>
  <si>
    <t>Dado que el Diccionario Global contiene vocabulario aprobado,</t>
  </si>
  <si>
    <t>cuando el estudiante introduce una palabra o parte de ella,</t>
  </si>
  <si>
    <t>entonces el sistema devuelve las coincidencias correspondientes sin distinguir entre mayúsculas y minúsculas.</t>
  </si>
  <si>
    <t>CA-16.3</t>
  </si>
  <si>
    <t xml:space="preserve"> Ausencia de resultados</t>
  </si>
  <si>
    <t>Dado que el estudiante busca un término que no existe dentro del vocabulario aprobado,</t>
  </si>
  <si>
    <t>cuando ejecuta la búsqueda,</t>
  </si>
  <si>
    <t>entonces el sistema muestra un mensaje indicando que no se encontraron coincidencias, sin generar un error.</t>
  </si>
  <si>
    <t>CA-17.1</t>
  </si>
  <si>
    <t>Consulta de mazos</t>
  </si>
  <si>
    <t>Dado que existen mazos de estudio registrados,</t>
  </si>
  <si>
    <t>cuando el usuario ingresa a la sección de mazos,</t>
  </si>
  <si>
    <t>entonces el sistema muestra los mazos disponibles con su respectiva información.</t>
  </si>
  <si>
    <t>CA-17.2</t>
  </si>
  <si>
    <t>Ausencia de mazos</t>
  </si>
  <si>
    <t>Dado que no existen mazos de estudio registrados,</t>
  </si>
  <si>
    <t>entonces el sistema muestra un mensaje informativo indicando que no hay mazos disponibles, sin generar un error.</t>
  </si>
  <si>
    <t>CA-17.3</t>
  </si>
  <si>
    <t>Consulta del vocabulario</t>
  </si>
  <si>
    <t>Dado que un mazo contiene tarjetas de vocabulario,</t>
  </si>
  <si>
    <t>cuando el usuario selecciona dicho mazo,</t>
  </si>
  <si>
    <t>entonces el sistema muestra las palabras disponibles en él, respetando su estado de revisión y los permisos establecidos.</t>
  </si>
  <si>
    <t>HE</t>
  </si>
  <si>
    <t>CA-18.1</t>
  </si>
  <si>
    <t>Generación del reporte individual</t>
  </si>
  <si>
    <t>Dado que la docente o el estudiante selecciona el reporte de progreso de un estudiante inscrito y elige "Descargar PDF"</t>
  </si>
  <si>
    <t>Cuando el sistema consolida la información del estudiante</t>
  </si>
  <si>
    <t>Entonces descarga un PDF con nombre, código y nivel MCER, el total de palabras aportadas por estado (pendiente_revision, revisado_docente, rechazada), las coautorías y el listado de sus palabras</t>
  </si>
  <si>
    <t>CA-18.2</t>
  </si>
  <si>
    <t>Quices y repaso en el reporte</t>
  </si>
  <si>
    <t>Dado que el estudiante ha presentado quices o ha realizado repasos</t>
  </si>
  <si>
    <t>Cuando se genera el reporte</t>
  </si>
  <si>
    <t>Entonces incluye por cada quiz la fecha y la calificación, la nota promedio y el número de tarjetas repasadas; si no hay actividad, la sección indica "Sin actividad registrada" sin generar un error</t>
  </si>
  <si>
    <t>CA-18.3</t>
  </si>
  <si>
    <t>Restricción de acceso al reporte</t>
  </si>
  <si>
    <t>Dado que un estudiante intenta descargar el reporte de otro estudiante</t>
  </si>
  <si>
    <t>Cuando solicita la descarga</t>
  </si>
  <si>
    <t>Entonces el sistema deniega el acceso con error HTTP 403 y no genera el documento</t>
  </si>
  <si>
    <t>CA-19.1</t>
  </si>
  <si>
    <t>Resumen de repaso por estudiante</t>
  </si>
  <si>
    <t>Dado que la docente elige "Reporte del modo de estudio"</t>
  </si>
  <si>
    <t>Cuando se genera el PDF</t>
  </si>
  <si>
    <t>Entonces muestra por estudiante las tarjetas repasadas, la fecha del último repaso, la distribución de valoraciones (Repetir, Difícil, Buena, Fácil) y las tarjetas con repaso vencido; los estudiantes sin repasos aparecen como "Sin actividad de estudio"</t>
  </si>
  <si>
    <t>CA-19.2</t>
  </si>
  <si>
    <t>Palabras de mayor dificultad</t>
  </si>
  <si>
    <t>Dado que existen valoraciones de repaso registradas</t>
  </si>
  <si>
    <t>Entonces lista las palabras con menor factor de facilidad SM-2, indicando su última valoración y su próxima fecha de repaso</t>
  </si>
  <si>
    <t>CA-19.3</t>
  </si>
  <si>
    <t>Dado que un estudiante intenta descargar el reporte de otro estudiante o el reporte general del grupo</t>
  </si>
  <si>
    <t>CA-20.1</t>
  </si>
  <si>
    <t>Listado de estudiantes y aportes</t>
  </si>
  <si>
    <t>Dado que existen estudiantes inscritos en el curso y la docente elige "Exportar reporte de estudiantes"</t>
  </si>
  <si>
    <t>Entonces incluye el nombre del curso, la fecha de generación y una tabla con nombre, código, nivel MCER, palabras añadidas, palabras aprobadas y coautorías de cada estudiante, junto con los totales del grupo</t>
  </si>
  <si>
    <t>CA-20.2</t>
  </si>
  <si>
    <t>Notas de quices por estudiante</t>
  </si>
  <si>
    <t>Dado que existen quices presentados</t>
  </si>
  <si>
    <t>Entonces muestra la calificación de cada estudiante en cada quiz y su promedio, marcando "No presentó" donde corresponda; si no hay quices, la sección lo indica sin generar un error</t>
  </si>
  <si>
    <t>CA-20.3</t>
  </si>
  <si>
    <t>Dado que un usuario que no es docente intenta descargar el reporte</t>
  </si>
  <si>
    <t>CA-21.1</t>
  </si>
  <si>
    <t>Resultados individuales del quiz</t>
  </si>
  <si>
    <t>Dado que un quiz tiene resultados registrados</t>
  </si>
  <si>
    <t>Cuando la docente elige "Exportar resultados"</t>
  </si>
  <si>
    <t>Entonces el PDF lista por estudiante la calificación, el puntaje, el tiempo empleado y la fecha de envío, y marca como "No presentó" a los inscritos sin resultado</t>
  </si>
  <si>
    <t>CA-21.2</t>
  </si>
  <si>
    <t>Estadísticas del grupo</t>
  </si>
  <si>
    <t>Dado que el quiz fue presentado por uno o más estudiantes</t>
  </si>
  <si>
    <t>Entonces incluye el promedio, la nota máxima y mínima, el porcentaje de estudiantes que lo presentó y las preguntas con mayor porcentaje de error; si aún no hay resultados, lo indica sin generar un error</t>
  </si>
  <si>
    <t>CA-21.3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</si>
</sst>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rgb="FFFFFFFF"/>
      <name val="Roboto Serif"/>
    </font>
    <font>
      <b/>
      <sz val="10.0"/>
      <color rgb="FFFFFFFF"/>
      <name val="Arial"/>
    </font>
    <font>
      <sz val="10.0"/>
      <color theme="1"/>
      <name val="Arial"/>
    </font>
    <font>
      <sz val="10.0"/>
      <color theme="1"/>
      <name val="Roboto Serif"/>
    </font>
    <font>
      <color theme="1"/>
      <name val="Roboto Serif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6B75"/>
      <name val="Roboto Serif"/>
    </font>
    <font>
      <sz val="10.0"/>
      <color rgb="FF000000"/>
      <name val="Roboto Serif"/>
    </font>
    <font>
      <u/>
      <sz val="10.0"/>
      <color rgb="FF0000FF"/>
      <name val="Arial"/>
    </font>
    <font/>
    <font>
      <sz val="10.0"/>
      <color rgb="FF1D1D1F"/>
      <name val="Roboto Serif"/>
    </font>
    <font>
      <color theme="1"/>
      <name val="Arial"/>
    </font>
    <font>
      <sz val="10.0"/>
      <color rgb="FF2E75B6"/>
      <name val="Roboto Serif"/>
    </font>
    <font>
      <sz val="10.0"/>
      <color rgb="FFC55A11"/>
      <name val="Roboto Serif"/>
    </font>
    <font>
      <sz val="10.0"/>
      <color rgb="FF375623"/>
      <name val="Roboto Serif"/>
    </font>
    <font>
      <sz val="10.0"/>
      <color rgb="FF5C2D6E"/>
      <name val="Roboto Serif"/>
    </font>
    <font>
      <sz val="10.0"/>
      <color rgb="FF990000"/>
      <name val="Roboto Serif"/>
    </font>
  </fonts>
  <fills count="11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0EAED"/>
        <bgColor rgb="FFD0EAED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AD8F5"/>
        <bgColor rgb="FFEAD8F5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/>
    </xf>
    <xf borderId="2" fillId="3" fontId="8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7" numFmtId="9" xfId="0" applyAlignment="1" applyFont="1" applyNumberFormat="1">
      <alignment readingOrder="0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3" fillId="0" fontId="11" numFmtId="0" xfId="0" applyBorder="1" applyFont="1"/>
    <xf borderId="0" fillId="4" fontId="12" numFmtId="0" xfId="0" applyAlignment="1" applyFill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vertical="center"/>
    </xf>
    <xf borderId="1" fillId="0" fontId="7" numFmtId="0" xfId="0" applyBorder="1" applyFont="1"/>
    <xf borderId="4" fillId="0" fontId="11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shrinkToFit="0" wrapText="1"/>
    </xf>
    <xf borderId="2" fillId="0" fontId="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1" fillId="0" fontId="7" numFmtId="0" xfId="0" applyAlignment="1" applyBorder="1" applyFont="1">
      <alignment horizontal="right" readingOrder="0"/>
    </xf>
    <xf borderId="1" fillId="0" fontId="6" numFmtId="0" xfId="0" applyAlignment="1" applyBorder="1" applyFont="1">
      <alignment readingOrder="0"/>
    </xf>
    <xf borderId="2" fillId="5" fontId="14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4" fontId="9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top" wrapText="1"/>
    </xf>
    <xf borderId="2" fillId="6" fontId="1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1" fillId="0" fontId="5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center" vertical="center"/>
    </xf>
    <xf borderId="2" fillId="7" fontId="16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2" fillId="8" fontId="17" numFmtId="0" xfId="0" applyAlignment="1" applyBorder="1" applyFill="1" applyFont="1">
      <alignment horizontal="center" readingOrder="0" shrinkToFit="0" vertical="center" wrapText="1"/>
    </xf>
    <xf borderId="2" fillId="9" fontId="17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10" fontId="18" numFmtId="0" xfId="0" applyAlignment="1" applyBorder="1" applyFill="1" applyFont="1">
      <alignment horizontal="center" readingOrder="0" shrinkToFit="0" vertical="center" wrapText="1"/>
    </xf>
    <xf borderId="2" fillId="10" fontId="18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REN NATHALIA SANDOVAL SANCHEZ" id="{1b3d532a-ff7a-45be-a411-43563287ee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6" dT="2026-09-11T19:33:20.00" personId="{1b3d532a-ff7a-45be-a411-43563287ee63}" id="{7f94be80-43ad-4feb-95c9-6da2ef7b1905}" done="1">
    <x18tc:text xml:space="preserve">corregir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12</v>
      </c>
      <c r="H1" s="2" t="s">
        <v>14</v>
      </c>
    </row>
    <row r="2">
      <c r="A2" s="7">
        <v>1.0</v>
      </c>
      <c r="B2" s="11" t="s">
        <v>24</v>
      </c>
      <c r="C2" s="7" t="s">
        <v>27</v>
      </c>
      <c r="D2" s="7" t="s">
        <v>28</v>
      </c>
      <c r="E2" s="11" t="s">
        <v>29</v>
      </c>
      <c r="F2" s="20" t="s">
        <v>31</v>
      </c>
      <c r="G2" s="7"/>
      <c r="H2" s="11"/>
      <c r="I2" s="21"/>
    </row>
    <row r="3">
      <c r="A3" s="11"/>
      <c r="B3" s="7" t="s">
        <v>24</v>
      </c>
      <c r="C3" s="7" t="s">
        <v>46</v>
      </c>
      <c r="D3" s="7" t="s">
        <v>48</v>
      </c>
      <c r="E3" s="7" t="s">
        <v>29</v>
      </c>
      <c r="F3" s="7"/>
      <c r="G3" s="7"/>
      <c r="H3" s="7"/>
      <c r="I3" s="21"/>
    </row>
    <row r="4">
      <c r="A4" s="11"/>
      <c r="B4" s="7" t="s">
        <v>24</v>
      </c>
      <c r="C4" s="7" t="s">
        <v>50</v>
      </c>
      <c r="D4" s="7" t="s">
        <v>51</v>
      </c>
      <c r="E4" s="7" t="s">
        <v>29</v>
      </c>
      <c r="F4" s="7"/>
      <c r="G4" s="7"/>
      <c r="H4" s="7"/>
      <c r="I4" s="21"/>
    </row>
    <row r="5">
      <c r="A5" s="11"/>
      <c r="B5" s="7" t="s">
        <v>24</v>
      </c>
      <c r="C5" s="7" t="s">
        <v>55</v>
      </c>
      <c r="D5" s="7" t="s">
        <v>58</v>
      </c>
      <c r="E5" s="7" t="s">
        <v>29</v>
      </c>
      <c r="F5" s="7"/>
      <c r="G5" s="7"/>
      <c r="H5" s="7"/>
    </row>
    <row r="6">
      <c r="A6" s="26"/>
      <c r="B6" s="29" t="s">
        <v>24</v>
      </c>
      <c r="C6" s="7" t="s">
        <v>66</v>
      </c>
      <c r="D6" s="7" t="s">
        <v>68</v>
      </c>
      <c r="E6" s="29" t="s">
        <v>29</v>
      </c>
      <c r="F6" s="29"/>
      <c r="G6" s="29"/>
      <c r="H6" s="26"/>
    </row>
    <row r="7">
      <c r="A7" s="30"/>
      <c r="B7" s="32" t="s">
        <v>77</v>
      </c>
      <c r="C7" s="32" t="s">
        <v>78</v>
      </c>
      <c r="D7" s="33" t="s">
        <v>79</v>
      </c>
      <c r="E7" s="32" t="s">
        <v>82</v>
      </c>
      <c r="F7" s="32"/>
      <c r="G7" s="32"/>
      <c r="H7" s="30"/>
    </row>
    <row r="8">
      <c r="A8" s="32">
        <v>4.0</v>
      </c>
      <c r="B8" s="32" t="s">
        <v>77</v>
      </c>
      <c r="C8" s="32" t="s">
        <v>87</v>
      </c>
      <c r="D8" s="35" t="s">
        <v>88</v>
      </c>
      <c r="E8" s="32" t="s">
        <v>82</v>
      </c>
      <c r="F8" s="32"/>
      <c r="G8" s="32"/>
      <c r="H8" s="30"/>
    </row>
  </sheetData>
  <dataValidations>
    <dataValidation type="list" allowBlank="1" showErrorMessage="1" sqref="E2:E8">
      <formula1>"Bajo,Medio,Alto"</formula1>
    </dataValidation>
    <dataValidation type="list" allowBlank="1" showErrorMessage="1" sqref="B2:B8">
      <formula1>"Baja,Media,Alta"</formula1>
    </dataValidation>
  </dataValidations>
  <hyperlinks>
    <hyperlink display="Metricas" location="Metricas!A1" ref="F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20.75"/>
    <col customWidth="1" min="5" max="5" width="23.25"/>
    <col customWidth="1" min="6" max="6" width="19.13"/>
    <col customWidth="1" min="7" max="7" width="40.13"/>
    <col customWidth="1" min="8" max="8" width="17.5"/>
    <col customWidth="1" min="9" max="9" width="29.5"/>
    <col customWidth="1" min="10" max="10" width="30.38"/>
  </cols>
  <sheetData>
    <row r="1">
      <c r="A1" s="1" t="s">
        <v>0</v>
      </c>
      <c r="B1" s="3" t="s">
        <v>4</v>
      </c>
      <c r="C1" s="3" t="s">
        <v>8</v>
      </c>
      <c r="D1" s="3" t="s">
        <v>10</v>
      </c>
      <c r="E1" s="3" t="s">
        <v>13</v>
      </c>
      <c r="F1" s="3" t="s">
        <v>11</v>
      </c>
      <c r="G1" s="6" t="s">
        <v>17</v>
      </c>
      <c r="H1" s="3" t="s">
        <v>18</v>
      </c>
      <c r="I1" s="3" t="s">
        <v>21</v>
      </c>
      <c r="J1" s="3" t="s">
        <v>23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2" t="s">
        <v>24</v>
      </c>
      <c r="B2" s="15" t="s">
        <v>27</v>
      </c>
      <c r="C2" s="15" t="s">
        <v>36</v>
      </c>
      <c r="D2" s="16" t="s">
        <v>38</v>
      </c>
      <c r="E2" s="16" t="s">
        <v>39</v>
      </c>
      <c r="F2" s="16" t="s">
        <v>35</v>
      </c>
      <c r="G2" s="19" t="s">
        <v>41</v>
      </c>
      <c r="H2" s="16" t="s">
        <v>42</v>
      </c>
      <c r="I2" s="22" t="s">
        <v>44</v>
      </c>
      <c r="J2" s="1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2" t="s">
        <v>24</v>
      </c>
      <c r="B3" s="24"/>
      <c r="C3" s="24"/>
      <c r="D3" s="16" t="s">
        <v>52</v>
      </c>
      <c r="E3" s="16" t="s">
        <v>53</v>
      </c>
      <c r="F3" s="16" t="s">
        <v>54</v>
      </c>
      <c r="G3" s="19" t="s">
        <v>57</v>
      </c>
      <c r="H3" s="16" t="s">
        <v>42</v>
      </c>
      <c r="I3" s="25" t="s">
        <v>62</v>
      </c>
      <c r="J3" s="16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2" t="s">
        <v>24</v>
      </c>
      <c r="B4" s="28"/>
      <c r="C4" s="28"/>
      <c r="D4" s="16" t="s">
        <v>69</v>
      </c>
      <c r="E4" s="16" t="s">
        <v>71</v>
      </c>
      <c r="F4" s="16" t="s">
        <v>72</v>
      </c>
      <c r="G4" s="19" t="s">
        <v>75</v>
      </c>
      <c r="H4" s="16" t="s">
        <v>42</v>
      </c>
      <c r="I4" s="22" t="s">
        <v>76</v>
      </c>
      <c r="J4" s="1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31" t="s">
        <v>24</v>
      </c>
      <c r="B5" s="34" t="s">
        <v>46</v>
      </c>
      <c r="C5" s="15" t="s">
        <v>85</v>
      </c>
      <c r="D5" s="16" t="s">
        <v>89</v>
      </c>
      <c r="E5" s="16" t="s">
        <v>91</v>
      </c>
      <c r="F5" s="16" t="s">
        <v>93</v>
      </c>
      <c r="G5" s="22" t="s">
        <v>95</v>
      </c>
      <c r="H5" s="16" t="s">
        <v>42</v>
      </c>
      <c r="I5" s="22" t="s">
        <v>98</v>
      </c>
      <c r="J5" s="36"/>
      <c r="K5" s="3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31" t="s">
        <v>24</v>
      </c>
      <c r="B6" s="24"/>
      <c r="C6" s="24"/>
      <c r="D6" s="16" t="s">
        <v>104</v>
      </c>
      <c r="E6" s="16" t="s">
        <v>106</v>
      </c>
      <c r="F6" s="16" t="s">
        <v>107</v>
      </c>
      <c r="G6" s="22" t="s">
        <v>108</v>
      </c>
      <c r="H6" s="16" t="s">
        <v>42</v>
      </c>
      <c r="I6" s="22" t="s">
        <v>109</v>
      </c>
      <c r="J6" s="3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31" t="s">
        <v>24</v>
      </c>
      <c r="B7" s="28"/>
      <c r="C7" s="28"/>
      <c r="D7" s="16" t="s">
        <v>110</v>
      </c>
      <c r="E7" s="16" t="s">
        <v>111</v>
      </c>
      <c r="F7" s="16" t="s">
        <v>112</v>
      </c>
      <c r="G7" s="19" t="s">
        <v>114</v>
      </c>
      <c r="H7" s="16" t="s">
        <v>42</v>
      </c>
      <c r="I7" s="22" t="s">
        <v>118</v>
      </c>
      <c r="J7" s="36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2" t="s">
        <v>24</v>
      </c>
      <c r="B8" s="34" t="s">
        <v>50</v>
      </c>
      <c r="C8" s="15" t="s">
        <v>124</v>
      </c>
      <c r="D8" s="16" t="s">
        <v>126</v>
      </c>
      <c r="E8" s="16" t="s">
        <v>127</v>
      </c>
      <c r="F8" s="16" t="s">
        <v>129</v>
      </c>
      <c r="G8" s="19" t="s">
        <v>131</v>
      </c>
      <c r="H8" s="16" t="s">
        <v>42</v>
      </c>
      <c r="I8" s="22" t="s">
        <v>134</v>
      </c>
      <c r="J8" s="1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2" t="s">
        <v>24</v>
      </c>
      <c r="B9" s="24"/>
      <c r="C9" s="24"/>
      <c r="D9" s="16" t="s">
        <v>137</v>
      </c>
      <c r="E9" s="16" t="s">
        <v>138</v>
      </c>
      <c r="F9" s="16" t="s">
        <v>140</v>
      </c>
      <c r="G9" s="19" t="s">
        <v>142</v>
      </c>
      <c r="H9" s="16" t="s">
        <v>42</v>
      </c>
      <c r="I9" s="22" t="s">
        <v>145</v>
      </c>
      <c r="J9" s="1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2" t="s">
        <v>24</v>
      </c>
      <c r="B10" s="28"/>
      <c r="C10" s="28"/>
      <c r="D10" s="16" t="s">
        <v>146</v>
      </c>
      <c r="E10" s="16" t="s">
        <v>147</v>
      </c>
      <c r="F10" s="16" t="s">
        <v>148</v>
      </c>
      <c r="G10" s="19" t="s">
        <v>149</v>
      </c>
      <c r="H10" s="16" t="s">
        <v>42</v>
      </c>
      <c r="I10" s="22" t="s">
        <v>150</v>
      </c>
      <c r="J10" s="1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12" t="s">
        <v>24</v>
      </c>
      <c r="B11" s="41" t="s">
        <v>55</v>
      </c>
      <c r="C11" s="15" t="s">
        <v>153</v>
      </c>
      <c r="D11" s="16" t="s">
        <v>157</v>
      </c>
      <c r="E11" s="16" t="s">
        <v>158</v>
      </c>
      <c r="F11" s="12" t="s">
        <v>159</v>
      </c>
      <c r="G11" s="19" t="s">
        <v>160</v>
      </c>
      <c r="H11" s="16" t="s">
        <v>42</v>
      </c>
      <c r="I11" s="22" t="s">
        <v>161</v>
      </c>
      <c r="J11" s="42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2" t="s">
        <v>24</v>
      </c>
      <c r="B12" s="28"/>
      <c r="C12" s="28"/>
      <c r="D12" s="16" t="s">
        <v>167</v>
      </c>
      <c r="E12" s="16" t="s">
        <v>168</v>
      </c>
      <c r="F12" s="12" t="s">
        <v>170</v>
      </c>
      <c r="G12" s="19" t="s">
        <v>172</v>
      </c>
      <c r="H12" s="16" t="s">
        <v>42</v>
      </c>
      <c r="I12" s="22" t="s">
        <v>174</v>
      </c>
      <c r="J12" s="4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2" t="s">
        <v>24</v>
      </c>
      <c r="B13" s="41" t="s">
        <v>66</v>
      </c>
      <c r="C13" s="15" t="s">
        <v>177</v>
      </c>
      <c r="D13" s="17" t="s">
        <v>182</v>
      </c>
      <c r="E13" s="17" t="s">
        <v>184</v>
      </c>
      <c r="F13" s="43" t="s">
        <v>185</v>
      </c>
      <c r="G13" s="18" t="s">
        <v>190</v>
      </c>
      <c r="H13" s="16" t="s">
        <v>42</v>
      </c>
      <c r="I13" s="44" t="s">
        <v>192</v>
      </c>
      <c r="J13" s="4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2" t="s">
        <v>24</v>
      </c>
      <c r="B14" s="24"/>
      <c r="C14" s="24"/>
      <c r="D14" s="45" t="s">
        <v>198</v>
      </c>
      <c r="E14" s="45" t="s">
        <v>199</v>
      </c>
      <c r="F14" s="43" t="s">
        <v>200</v>
      </c>
      <c r="G14" s="46" t="s">
        <v>204</v>
      </c>
      <c r="H14" s="16" t="s">
        <v>42</v>
      </c>
      <c r="I14" s="44" t="s">
        <v>207</v>
      </c>
      <c r="J14" s="42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2" t="s">
        <v>24</v>
      </c>
      <c r="B15" s="24"/>
      <c r="C15" s="24"/>
      <c r="D15" s="16" t="s">
        <v>212</v>
      </c>
      <c r="E15" s="16" t="s">
        <v>213</v>
      </c>
      <c r="F15" s="16" t="s">
        <v>215</v>
      </c>
      <c r="G15" s="19" t="s">
        <v>216</v>
      </c>
      <c r="H15" s="16" t="s">
        <v>42</v>
      </c>
      <c r="I15" s="47" t="s">
        <v>217</v>
      </c>
      <c r="J15" s="1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12" t="s">
        <v>24</v>
      </c>
      <c r="B16" s="28"/>
      <c r="C16" s="28"/>
      <c r="D16" s="16" t="s">
        <v>223</v>
      </c>
      <c r="E16" s="16" t="s">
        <v>224</v>
      </c>
      <c r="F16" s="16" t="s">
        <v>225</v>
      </c>
      <c r="G16" s="19" t="s">
        <v>226</v>
      </c>
      <c r="H16" s="16" t="s">
        <v>42</v>
      </c>
      <c r="I16" s="47" t="s">
        <v>227</v>
      </c>
      <c r="J16" s="1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12" t="s">
        <v>77</v>
      </c>
      <c r="B17" s="41" t="s">
        <v>78</v>
      </c>
      <c r="C17" s="15" t="s">
        <v>79</v>
      </c>
      <c r="D17" s="16" t="s">
        <v>229</v>
      </c>
      <c r="E17" s="49" t="s">
        <v>232</v>
      </c>
      <c r="F17" s="50" t="s">
        <v>235</v>
      </c>
      <c r="G17" s="51" t="s">
        <v>238</v>
      </c>
      <c r="H17" s="16" t="s">
        <v>42</v>
      </c>
      <c r="I17" s="22" t="s">
        <v>242</v>
      </c>
      <c r="J17" s="5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2" t="s">
        <v>77</v>
      </c>
      <c r="B18" s="28"/>
      <c r="C18" s="28"/>
      <c r="D18" s="53" t="s">
        <v>248</v>
      </c>
      <c r="E18" s="53" t="s">
        <v>249</v>
      </c>
      <c r="F18" s="50" t="s">
        <v>250</v>
      </c>
      <c r="G18" s="54" t="s">
        <v>254</v>
      </c>
      <c r="H18" s="16" t="s">
        <v>42</v>
      </c>
      <c r="I18" s="55" t="s">
        <v>257</v>
      </c>
      <c r="J18" s="5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2" t="s">
        <v>77</v>
      </c>
      <c r="B19" s="56" t="s">
        <v>87</v>
      </c>
      <c r="C19" s="57" t="s">
        <v>88</v>
      </c>
      <c r="D19" s="53" t="s">
        <v>268</v>
      </c>
      <c r="E19" s="53" t="s">
        <v>269</v>
      </c>
      <c r="F19" s="50" t="s">
        <v>270</v>
      </c>
      <c r="G19" s="58" t="s">
        <v>272</v>
      </c>
      <c r="H19" s="16" t="s">
        <v>43</v>
      </c>
      <c r="I19" s="59" t="s">
        <v>277</v>
      </c>
      <c r="J19" s="60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12" t="s">
        <v>77</v>
      </c>
      <c r="B20" s="24"/>
      <c r="C20" s="24"/>
      <c r="D20" s="53" t="s">
        <v>283</v>
      </c>
      <c r="E20" s="53" t="s">
        <v>285</v>
      </c>
      <c r="F20" s="50" t="s">
        <v>287</v>
      </c>
      <c r="G20" s="58" t="s">
        <v>289</v>
      </c>
      <c r="H20" s="16" t="s">
        <v>292</v>
      </c>
      <c r="I20" s="59" t="s">
        <v>293</v>
      </c>
      <c r="J20" s="60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12" t="s">
        <v>77</v>
      </c>
      <c r="B21" s="24"/>
      <c r="C21" s="24"/>
      <c r="D21" s="53" t="s">
        <v>294</v>
      </c>
      <c r="E21" s="53" t="s">
        <v>295</v>
      </c>
      <c r="F21" s="50" t="s">
        <v>296</v>
      </c>
      <c r="G21" s="58" t="s">
        <v>297</v>
      </c>
      <c r="H21" s="16" t="s">
        <v>43</v>
      </c>
      <c r="I21" s="59" t="s">
        <v>298</v>
      </c>
      <c r="J21" s="6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12" t="s">
        <v>77</v>
      </c>
      <c r="B22" s="28"/>
      <c r="C22" s="28"/>
      <c r="D22" s="53" t="s">
        <v>301</v>
      </c>
      <c r="E22" s="53" t="s">
        <v>302</v>
      </c>
      <c r="F22" s="50" t="s">
        <v>304</v>
      </c>
      <c r="G22" s="58" t="s">
        <v>306</v>
      </c>
      <c r="H22" s="16" t="s">
        <v>43</v>
      </c>
      <c r="I22" s="59" t="s">
        <v>308</v>
      </c>
      <c r="J22" s="60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9"/>
      <c r="G23" s="6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9"/>
      <c r="G24" s="6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9"/>
      <c r="G25" s="6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9"/>
      <c r="G26" s="6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9"/>
      <c r="G27" s="6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9"/>
      <c r="G28" s="6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6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6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62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62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62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6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62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62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62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6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62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62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62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6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62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62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62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62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6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62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62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6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62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62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6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6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6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6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6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6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62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62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6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6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62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62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62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6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62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6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62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62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62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62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62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62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62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62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62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62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62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62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62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62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62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62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62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62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62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62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62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62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62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62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62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62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62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62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62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62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62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62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62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62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62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62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62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62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62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62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62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62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62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62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62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62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62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62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62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62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62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62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62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62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62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62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62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62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62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62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62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62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62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62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62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62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62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62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62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62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62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62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62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62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62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62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62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62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62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62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62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62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62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62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62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62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62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62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62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62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62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62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62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62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62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62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62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62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62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62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62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62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62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62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62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62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62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62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62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62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62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62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62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62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62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62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62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62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62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62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62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62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62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62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62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62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62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62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62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62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62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62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62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62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62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62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62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62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62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62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62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62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62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62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62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62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62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62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62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62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62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62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62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62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62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62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62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62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62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62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62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62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62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62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62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62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62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62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62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62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62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62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62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62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62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62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62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62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62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62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62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62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62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62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62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62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62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62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62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62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62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62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62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62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62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62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62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62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62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62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62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62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62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62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62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62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62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62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62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62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62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62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62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62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62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62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62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62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62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62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62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62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62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62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62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62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62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62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62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62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62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62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62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62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62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62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62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62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62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62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62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62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62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62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62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62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62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62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62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62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62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62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62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62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62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62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62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62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62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62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62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62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62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62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62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62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62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62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62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62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62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62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62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62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62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62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62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62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62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62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62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62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62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62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62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62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62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62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62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62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62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62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62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62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62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62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62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62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62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62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62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62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62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62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62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62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62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62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62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62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62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62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62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62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62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62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62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62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62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62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62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62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62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62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62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62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62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62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62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62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62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62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62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62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62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62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62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62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62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62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62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62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62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62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62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62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62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62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62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62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62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62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62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62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62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62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62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62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62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62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62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62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62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62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62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62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62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62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62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62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62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62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62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62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62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62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62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62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62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62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62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62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62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62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62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62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62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62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62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62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62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62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62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62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62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62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62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62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62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62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62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62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62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62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62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62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62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62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62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62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62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62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62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62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62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62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62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62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62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62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62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62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62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62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62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62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62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62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62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62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62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62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62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62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62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62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62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62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62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62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62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62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62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62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62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62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62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62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62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62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62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62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62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62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62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62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62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62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62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62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62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62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62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62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62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62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62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62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62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62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62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62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62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62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62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62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62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62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62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62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62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62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62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62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62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62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62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62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62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62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62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62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62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62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62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62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62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62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62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62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62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62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62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62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62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62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62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62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62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62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62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62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62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62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62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62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62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62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62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62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62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62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62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62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62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62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62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62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62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62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62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62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62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62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62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62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62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62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62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62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62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62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62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62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62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62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62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62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62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62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62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62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62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62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62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62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62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62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62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62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62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62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62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62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62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62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62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62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62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62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62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62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62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62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62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62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62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62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62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62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62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62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62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62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62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62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62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62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62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62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62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62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62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62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62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62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62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62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62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62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62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62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62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62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62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62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62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62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62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62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62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62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62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62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62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62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62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62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62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62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62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62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62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62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62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62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62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62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62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62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62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62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62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62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62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62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62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62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62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62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62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62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62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62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62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62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62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62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62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62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62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62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62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62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62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62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62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62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62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62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62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62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62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62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62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62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62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62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62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62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62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62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62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62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62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62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62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62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62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62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62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62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62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62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62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62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62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62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62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62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62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62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62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62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62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62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62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62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62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62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62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62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62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62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62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62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62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62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62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62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62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62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62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62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62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62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62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62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62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62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62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62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62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62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62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62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62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62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62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62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62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62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62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62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62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62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62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62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62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62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62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62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62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62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62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62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62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62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62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62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62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62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62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62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62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62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62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62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62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62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62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62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62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62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62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62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62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62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62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62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62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62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62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62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62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62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62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62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62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62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62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62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62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62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62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62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62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62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62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62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62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62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62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62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62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62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62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62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62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62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62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62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62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62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62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62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62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62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62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62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62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62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62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62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62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62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62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62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62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62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62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62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62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62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62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62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62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62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62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62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62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62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62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62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62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62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62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62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62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62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62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62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62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62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62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62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62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62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62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62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62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62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62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62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62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62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62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62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62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62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62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62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62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62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62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62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62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62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62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62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62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62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62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62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62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62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62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62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62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62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62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62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62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62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62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62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62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62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62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62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62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62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62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62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62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62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62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62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62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62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62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62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62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62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62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62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62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62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62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62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62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62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62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62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62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62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62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</sheetData>
  <mergeCells count="14">
    <mergeCell ref="B11:B12"/>
    <mergeCell ref="B13:B16"/>
    <mergeCell ref="C13:C16"/>
    <mergeCell ref="B17:B18"/>
    <mergeCell ref="C17:C18"/>
    <mergeCell ref="B19:B22"/>
    <mergeCell ref="C19:C22"/>
    <mergeCell ref="B2:B4"/>
    <mergeCell ref="C2:C4"/>
    <mergeCell ref="B5:B7"/>
    <mergeCell ref="C5:C7"/>
    <mergeCell ref="B8:B10"/>
    <mergeCell ref="C8:C10"/>
    <mergeCell ref="C11:C12"/>
  </mergeCells>
  <dataValidations>
    <dataValidation type="list" allowBlank="1" showErrorMessage="1" sqref="H2:H22">
      <formula1>"Pendiente,En progreso,Completado"</formula1>
    </dataValidation>
    <dataValidation type="list" allowBlank="1" showErrorMessage="1" sqref="A2:A22">
      <formula1>"Baja,Media,Alta"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0.25"/>
    <col customWidth="1" min="4" max="4" width="60.38"/>
    <col customWidth="1" hidden="1" min="5" max="5" width="20.5"/>
    <col customWidth="1" min="6" max="6" width="38.38"/>
    <col customWidth="1" min="7" max="7" width="33.63"/>
    <col customWidth="1" min="8" max="8" width="44.0"/>
  </cols>
  <sheetData>
    <row r="1">
      <c r="A1" s="4" t="s">
        <v>2</v>
      </c>
      <c r="B1" s="5" t="s">
        <v>11</v>
      </c>
      <c r="C1" s="5" t="s">
        <v>15</v>
      </c>
      <c r="D1" s="5" t="s">
        <v>16</v>
      </c>
      <c r="E1" s="5" t="s">
        <v>18</v>
      </c>
      <c r="F1" s="4" t="s">
        <v>19</v>
      </c>
      <c r="G1" s="4" t="s">
        <v>20</v>
      </c>
      <c r="H1" s="4" t="s">
        <v>22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8.25" customHeight="1">
      <c r="A2" s="14" t="s">
        <v>27</v>
      </c>
      <c r="B2" s="14" t="s">
        <v>35</v>
      </c>
      <c r="C2" s="17" t="s">
        <v>37</v>
      </c>
      <c r="D2" s="18" t="s">
        <v>40</v>
      </c>
      <c r="E2" s="16" t="s">
        <v>43</v>
      </c>
      <c r="F2" s="19" t="s">
        <v>45</v>
      </c>
      <c r="G2" s="19" t="s">
        <v>47</v>
      </c>
      <c r="H2" s="19" t="s">
        <v>49</v>
      </c>
      <c r="I2" s="23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4"/>
      <c r="B3" s="24"/>
      <c r="C3" s="17" t="s">
        <v>56</v>
      </c>
      <c r="D3" s="18" t="s">
        <v>59</v>
      </c>
      <c r="E3" s="16" t="s">
        <v>43</v>
      </c>
      <c r="F3" s="19" t="s">
        <v>60</v>
      </c>
      <c r="G3" s="19" t="s">
        <v>61</v>
      </c>
      <c r="H3" s="19" t="s">
        <v>63</v>
      </c>
      <c r="I3" s="2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4"/>
      <c r="B4" s="28"/>
      <c r="C4" s="17" t="s">
        <v>65</v>
      </c>
      <c r="D4" s="18" t="s">
        <v>67</v>
      </c>
      <c r="E4" s="16" t="s">
        <v>43</v>
      </c>
      <c r="F4" s="19" t="s">
        <v>70</v>
      </c>
      <c r="G4" s="19" t="s">
        <v>73</v>
      </c>
      <c r="H4" s="19" t="s">
        <v>74</v>
      </c>
      <c r="I4" s="2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4"/>
      <c r="B5" s="14" t="s">
        <v>54</v>
      </c>
      <c r="C5" s="17" t="s">
        <v>80</v>
      </c>
      <c r="D5" s="18" t="s">
        <v>81</v>
      </c>
      <c r="E5" s="16" t="s">
        <v>43</v>
      </c>
      <c r="F5" s="19" t="s">
        <v>83</v>
      </c>
      <c r="G5" s="19" t="s">
        <v>84</v>
      </c>
      <c r="H5" s="19" t="s">
        <v>86</v>
      </c>
      <c r="I5" s="2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4"/>
      <c r="B6" s="24"/>
      <c r="C6" s="17" t="s">
        <v>90</v>
      </c>
      <c r="D6" s="18" t="s">
        <v>92</v>
      </c>
      <c r="E6" s="16" t="s">
        <v>43</v>
      </c>
      <c r="F6" s="19" t="s">
        <v>94</v>
      </c>
      <c r="G6" s="19" t="s">
        <v>96</v>
      </c>
      <c r="H6" s="19" t="s">
        <v>97</v>
      </c>
      <c r="I6" s="2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4"/>
      <c r="B7" s="28"/>
      <c r="C7" s="17" t="s">
        <v>100</v>
      </c>
      <c r="D7" s="18" t="s">
        <v>101</v>
      </c>
      <c r="E7" s="16" t="s">
        <v>43</v>
      </c>
      <c r="F7" s="19" t="s">
        <v>94</v>
      </c>
      <c r="G7" s="19" t="s">
        <v>102</v>
      </c>
      <c r="H7" s="19" t="s">
        <v>105</v>
      </c>
      <c r="I7" s="23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4"/>
      <c r="B8" s="14" t="s">
        <v>72</v>
      </c>
      <c r="C8" s="17" t="s">
        <v>113</v>
      </c>
      <c r="D8" s="18" t="s">
        <v>115</v>
      </c>
      <c r="E8" s="16" t="s">
        <v>43</v>
      </c>
      <c r="F8" s="19" t="s">
        <v>116</v>
      </c>
      <c r="G8" s="19" t="s">
        <v>119</v>
      </c>
      <c r="H8" s="19" t="s">
        <v>120</v>
      </c>
      <c r="I8" s="23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4"/>
      <c r="B9" s="24"/>
      <c r="C9" s="17" t="s">
        <v>121</v>
      </c>
      <c r="D9" s="18" t="s">
        <v>122</v>
      </c>
      <c r="E9" s="16" t="s">
        <v>43</v>
      </c>
      <c r="F9" s="19" t="s">
        <v>116</v>
      </c>
      <c r="G9" s="19" t="s">
        <v>123</v>
      </c>
      <c r="H9" s="19" t="s">
        <v>125</v>
      </c>
      <c r="I9" s="23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4"/>
      <c r="B10" s="24"/>
      <c r="C10" s="17" t="s">
        <v>128</v>
      </c>
      <c r="D10" s="18" t="s">
        <v>130</v>
      </c>
      <c r="E10" s="16" t="s">
        <v>43</v>
      </c>
      <c r="F10" s="19" t="s">
        <v>132</v>
      </c>
      <c r="G10" s="19" t="s">
        <v>133</v>
      </c>
      <c r="H10" s="19" t="s">
        <v>135</v>
      </c>
      <c r="I10" s="2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8"/>
      <c r="B11" s="24"/>
      <c r="C11" s="17" t="s">
        <v>136</v>
      </c>
      <c r="D11" s="18" t="s">
        <v>139</v>
      </c>
      <c r="E11" s="16" t="s">
        <v>43</v>
      </c>
      <c r="F11" s="19" t="s">
        <v>141</v>
      </c>
      <c r="G11" s="19" t="s">
        <v>143</v>
      </c>
      <c r="H11" s="19" t="s">
        <v>144</v>
      </c>
      <c r="I11" s="2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0" t="s">
        <v>46</v>
      </c>
      <c r="B12" s="40" t="s">
        <v>93</v>
      </c>
      <c r="C12" s="17" t="s">
        <v>151</v>
      </c>
      <c r="D12" s="18" t="s">
        <v>152</v>
      </c>
      <c r="E12" s="16" t="s">
        <v>43</v>
      </c>
      <c r="F12" s="19" t="s">
        <v>154</v>
      </c>
      <c r="G12" s="19" t="s">
        <v>155</v>
      </c>
      <c r="H12" s="19" t="s">
        <v>156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4"/>
      <c r="B13" s="24"/>
      <c r="C13" s="17" t="s">
        <v>162</v>
      </c>
      <c r="D13" s="18" t="s">
        <v>163</v>
      </c>
      <c r="E13" s="16" t="s">
        <v>43</v>
      </c>
      <c r="F13" s="19" t="s">
        <v>164</v>
      </c>
      <c r="G13" s="19" t="s">
        <v>165</v>
      </c>
      <c r="H13" s="19" t="s">
        <v>166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4"/>
      <c r="B14" s="28"/>
      <c r="C14" s="17" t="s">
        <v>169</v>
      </c>
      <c r="D14" s="18" t="s">
        <v>171</v>
      </c>
      <c r="E14" s="16" t="s">
        <v>43</v>
      </c>
      <c r="F14" s="19" t="s">
        <v>173</v>
      </c>
      <c r="G14" s="19" t="s">
        <v>175</v>
      </c>
      <c r="H14" s="19" t="s">
        <v>176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4"/>
      <c r="B15" s="40" t="s">
        <v>107</v>
      </c>
      <c r="C15" s="17" t="s">
        <v>178</v>
      </c>
      <c r="D15" s="18" t="s">
        <v>179</v>
      </c>
      <c r="E15" s="16" t="s">
        <v>43</v>
      </c>
      <c r="F15" s="19" t="s">
        <v>180</v>
      </c>
      <c r="G15" s="19" t="s">
        <v>181</v>
      </c>
      <c r="H15" s="19" t="s">
        <v>183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4"/>
      <c r="B16" s="24"/>
      <c r="C16" s="17" t="s">
        <v>186</v>
      </c>
      <c r="D16" s="18" t="s">
        <v>187</v>
      </c>
      <c r="E16" s="16" t="s">
        <v>43</v>
      </c>
      <c r="F16" s="19" t="s">
        <v>188</v>
      </c>
      <c r="G16" s="19" t="s">
        <v>189</v>
      </c>
      <c r="H16" s="19" t="s">
        <v>191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4"/>
      <c r="B17" s="28"/>
      <c r="C17" s="17" t="s">
        <v>193</v>
      </c>
      <c r="D17" s="18" t="s">
        <v>194</v>
      </c>
      <c r="E17" s="16" t="s">
        <v>43</v>
      </c>
      <c r="F17" s="19" t="s">
        <v>195</v>
      </c>
      <c r="G17" s="19" t="s">
        <v>196</v>
      </c>
      <c r="H17" s="19" t="s">
        <v>197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4"/>
      <c r="B18" s="40" t="s">
        <v>112</v>
      </c>
      <c r="C18" s="17" t="s">
        <v>201</v>
      </c>
      <c r="D18" s="18" t="s">
        <v>202</v>
      </c>
      <c r="E18" s="16" t="s">
        <v>43</v>
      </c>
      <c r="F18" s="19" t="s">
        <v>203</v>
      </c>
      <c r="G18" s="19" t="s">
        <v>205</v>
      </c>
      <c r="H18" s="19" t="s">
        <v>206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4"/>
      <c r="B19" s="24"/>
      <c r="C19" s="17" t="s">
        <v>208</v>
      </c>
      <c r="D19" s="18" t="s">
        <v>209</v>
      </c>
      <c r="E19" s="16" t="s">
        <v>43</v>
      </c>
      <c r="F19" s="19" t="s">
        <v>210</v>
      </c>
      <c r="G19" s="19" t="s">
        <v>211</v>
      </c>
      <c r="H19" s="19" t="s">
        <v>214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8"/>
      <c r="B20" s="28"/>
      <c r="C20" s="17" t="s">
        <v>218</v>
      </c>
      <c r="D20" s="18" t="s">
        <v>219</v>
      </c>
      <c r="E20" s="16" t="s">
        <v>43</v>
      </c>
      <c r="F20" s="19" t="s">
        <v>220</v>
      </c>
      <c r="G20" s="19" t="s">
        <v>221</v>
      </c>
      <c r="H20" s="19" t="s">
        <v>222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8" t="s">
        <v>50</v>
      </c>
      <c r="B21" s="48" t="s">
        <v>129</v>
      </c>
      <c r="C21" s="17" t="s">
        <v>228</v>
      </c>
      <c r="D21" s="18" t="s">
        <v>230</v>
      </c>
      <c r="E21" s="16" t="s">
        <v>43</v>
      </c>
      <c r="F21" s="19" t="s">
        <v>231</v>
      </c>
      <c r="G21" s="19" t="s">
        <v>233</v>
      </c>
      <c r="H21" s="19" t="s">
        <v>234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4"/>
      <c r="B22" s="24"/>
      <c r="C22" s="17" t="s">
        <v>236</v>
      </c>
      <c r="D22" s="18" t="s">
        <v>237</v>
      </c>
      <c r="E22" s="16" t="s">
        <v>43</v>
      </c>
      <c r="F22" s="19" t="s">
        <v>239</v>
      </c>
      <c r="G22" s="19" t="s">
        <v>240</v>
      </c>
      <c r="H22" s="19" t="s">
        <v>241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4"/>
      <c r="B23" s="28"/>
      <c r="C23" s="17" t="s">
        <v>243</v>
      </c>
      <c r="D23" s="18" t="s">
        <v>244</v>
      </c>
      <c r="E23" s="16" t="s">
        <v>43</v>
      </c>
      <c r="F23" s="19" t="s">
        <v>245</v>
      </c>
      <c r="G23" s="19" t="s">
        <v>246</v>
      </c>
      <c r="H23" s="19" t="s">
        <v>247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4"/>
      <c r="B24" s="48" t="s">
        <v>140</v>
      </c>
      <c r="C24" s="17" t="s">
        <v>251</v>
      </c>
      <c r="D24" s="18" t="s">
        <v>252</v>
      </c>
      <c r="E24" s="16" t="s">
        <v>43</v>
      </c>
      <c r="F24" s="19" t="s">
        <v>253</v>
      </c>
      <c r="G24" s="19" t="s">
        <v>255</v>
      </c>
      <c r="H24" s="19" t="s">
        <v>256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4"/>
      <c r="B25" s="24"/>
      <c r="C25" s="17" t="s">
        <v>258</v>
      </c>
      <c r="D25" s="18" t="s">
        <v>259</v>
      </c>
      <c r="E25" s="16" t="s">
        <v>43</v>
      </c>
      <c r="F25" s="19" t="s">
        <v>260</v>
      </c>
      <c r="G25" s="19" t="s">
        <v>261</v>
      </c>
      <c r="H25" s="19" t="s">
        <v>262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4"/>
      <c r="B26" s="28"/>
      <c r="C26" s="17" t="s">
        <v>263</v>
      </c>
      <c r="D26" s="18" t="s">
        <v>264</v>
      </c>
      <c r="E26" s="16" t="s">
        <v>43</v>
      </c>
      <c r="F26" s="19" t="s">
        <v>265</v>
      </c>
      <c r="G26" s="19" t="s">
        <v>266</v>
      </c>
      <c r="H26" s="19" t="s">
        <v>267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4"/>
      <c r="B27" s="48" t="s">
        <v>148</v>
      </c>
      <c r="C27" s="17" t="s">
        <v>271</v>
      </c>
      <c r="D27" s="18" t="s">
        <v>273</v>
      </c>
      <c r="E27" s="16" t="s">
        <v>43</v>
      </c>
      <c r="F27" s="19" t="s">
        <v>274</v>
      </c>
      <c r="G27" s="19" t="s">
        <v>275</v>
      </c>
      <c r="H27" s="19" t="s">
        <v>276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4"/>
      <c r="B28" s="24"/>
      <c r="C28" s="17" t="s">
        <v>278</v>
      </c>
      <c r="D28" s="18" t="s">
        <v>279</v>
      </c>
      <c r="E28" s="16" t="s">
        <v>43</v>
      </c>
      <c r="F28" s="19" t="s">
        <v>280</v>
      </c>
      <c r="G28" s="19" t="s">
        <v>281</v>
      </c>
      <c r="H28" s="19" t="s">
        <v>282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8"/>
      <c r="B29" s="28"/>
      <c r="C29" s="17" t="s">
        <v>284</v>
      </c>
      <c r="D29" s="18" t="s">
        <v>286</v>
      </c>
      <c r="E29" s="16" t="s">
        <v>43</v>
      </c>
      <c r="F29" s="19" t="s">
        <v>288</v>
      </c>
      <c r="G29" s="19" t="s">
        <v>290</v>
      </c>
      <c r="H29" s="19" t="s">
        <v>291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1" t="s">
        <v>55</v>
      </c>
      <c r="B30" s="61" t="s">
        <v>159</v>
      </c>
      <c r="C30" s="17" t="s">
        <v>299</v>
      </c>
      <c r="D30" s="18" t="s">
        <v>300</v>
      </c>
      <c r="E30" s="16" t="s">
        <v>43</v>
      </c>
      <c r="F30" s="19" t="s">
        <v>303</v>
      </c>
      <c r="G30" s="19" t="s">
        <v>305</v>
      </c>
      <c r="H30" s="19" t="s">
        <v>307</v>
      </c>
      <c r="I30" s="2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4"/>
      <c r="B31" s="24"/>
      <c r="C31" s="17" t="s">
        <v>309</v>
      </c>
      <c r="D31" s="18" t="s">
        <v>310</v>
      </c>
      <c r="E31" s="16" t="s">
        <v>43</v>
      </c>
      <c r="F31" s="19" t="s">
        <v>311</v>
      </c>
      <c r="G31" s="19" t="s">
        <v>312</v>
      </c>
      <c r="H31" s="19" t="s">
        <v>313</v>
      </c>
      <c r="I31" s="2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4"/>
      <c r="B32" s="28"/>
      <c r="C32" s="17" t="s">
        <v>314</v>
      </c>
      <c r="D32" s="18" t="s">
        <v>315</v>
      </c>
      <c r="E32" s="16" t="s">
        <v>43</v>
      </c>
      <c r="F32" s="19" t="s">
        <v>316</v>
      </c>
      <c r="G32" s="19" t="s">
        <v>317</v>
      </c>
      <c r="H32" s="19" t="s">
        <v>318</v>
      </c>
      <c r="I32" s="2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4"/>
      <c r="B33" s="61" t="s">
        <v>170</v>
      </c>
      <c r="C33" s="45" t="s">
        <v>319</v>
      </c>
      <c r="D33" s="46" t="s">
        <v>320</v>
      </c>
      <c r="E33" s="16" t="s">
        <v>43</v>
      </c>
      <c r="F33" s="19" t="s">
        <v>321</v>
      </c>
      <c r="G33" s="19" t="s">
        <v>322</v>
      </c>
      <c r="H33" s="19" t="s">
        <v>323</v>
      </c>
      <c r="I33" s="2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4"/>
      <c r="B34" s="24"/>
      <c r="C34" s="45" t="s">
        <v>324</v>
      </c>
      <c r="D34" s="46" t="s">
        <v>325</v>
      </c>
      <c r="E34" s="16" t="s">
        <v>43</v>
      </c>
      <c r="F34" s="19" t="s">
        <v>326</v>
      </c>
      <c r="G34" s="19" t="s">
        <v>327</v>
      </c>
      <c r="H34" s="19" t="s">
        <v>328</v>
      </c>
      <c r="I34" s="2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8"/>
      <c r="B35" s="28"/>
      <c r="C35" s="45" t="s">
        <v>329</v>
      </c>
      <c r="D35" s="46" t="s">
        <v>330</v>
      </c>
      <c r="E35" s="16" t="s">
        <v>43</v>
      </c>
      <c r="F35" s="19" t="s">
        <v>331</v>
      </c>
      <c r="G35" s="19" t="s">
        <v>332</v>
      </c>
      <c r="H35" s="19" t="s">
        <v>333</v>
      </c>
      <c r="I35" s="2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3" t="s">
        <v>66</v>
      </c>
      <c r="B36" s="63" t="s">
        <v>185</v>
      </c>
      <c r="C36" s="17" t="s">
        <v>334</v>
      </c>
      <c r="D36" s="18" t="s">
        <v>335</v>
      </c>
      <c r="E36" s="16" t="s">
        <v>43</v>
      </c>
      <c r="F36" s="19" t="s">
        <v>336</v>
      </c>
      <c r="G36" s="19" t="s">
        <v>337</v>
      </c>
      <c r="H36" s="19" t="s">
        <v>338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4"/>
      <c r="B37" s="28"/>
      <c r="C37" s="17" t="s">
        <v>339</v>
      </c>
      <c r="D37" s="18" t="s">
        <v>340</v>
      </c>
      <c r="E37" s="16" t="s">
        <v>43</v>
      </c>
      <c r="F37" s="19" t="s">
        <v>341</v>
      </c>
      <c r="G37" s="19" t="s">
        <v>342</v>
      </c>
      <c r="H37" s="19" t="s">
        <v>343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4"/>
      <c r="B38" s="63" t="s">
        <v>200</v>
      </c>
      <c r="C38" s="17" t="s">
        <v>344</v>
      </c>
      <c r="D38" s="18" t="s">
        <v>345</v>
      </c>
      <c r="E38" s="16" t="s">
        <v>43</v>
      </c>
      <c r="F38" s="19" t="s">
        <v>346</v>
      </c>
      <c r="G38" s="19" t="s">
        <v>347</v>
      </c>
      <c r="H38" s="19" t="s">
        <v>348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4"/>
      <c r="B39" s="28"/>
      <c r="C39" s="17" t="s">
        <v>349</v>
      </c>
      <c r="D39" s="18" t="s">
        <v>350</v>
      </c>
      <c r="E39" s="16" t="s">
        <v>43</v>
      </c>
      <c r="F39" s="19" t="s">
        <v>351</v>
      </c>
      <c r="G39" s="19" t="s">
        <v>352</v>
      </c>
      <c r="H39" s="19" t="s">
        <v>353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4"/>
      <c r="B40" s="63" t="s">
        <v>215</v>
      </c>
      <c r="C40" s="17" t="s">
        <v>354</v>
      </c>
      <c r="D40" s="46" t="s">
        <v>355</v>
      </c>
      <c r="E40" s="16" t="s">
        <v>43</v>
      </c>
      <c r="F40" s="19" t="s">
        <v>356</v>
      </c>
      <c r="G40" s="19" t="s">
        <v>357</v>
      </c>
      <c r="H40" s="19" t="s">
        <v>358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4"/>
      <c r="B41" s="28"/>
      <c r="C41" s="17" t="s">
        <v>359</v>
      </c>
      <c r="D41" s="46" t="s">
        <v>360</v>
      </c>
      <c r="E41" s="16" t="s">
        <v>43</v>
      </c>
      <c r="F41" s="19" t="s">
        <v>361</v>
      </c>
      <c r="G41" s="19" t="s">
        <v>362</v>
      </c>
      <c r="H41" s="19" t="s">
        <v>363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4"/>
      <c r="B42" s="63" t="s">
        <v>225</v>
      </c>
      <c r="C42" s="17" t="s">
        <v>364</v>
      </c>
      <c r="D42" s="46" t="s">
        <v>365</v>
      </c>
      <c r="E42" s="16" t="s">
        <v>43</v>
      </c>
      <c r="F42" s="19" t="s">
        <v>366</v>
      </c>
      <c r="G42" s="19" t="s">
        <v>367</v>
      </c>
      <c r="H42" s="19" t="s">
        <v>368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4"/>
      <c r="B43" s="24"/>
      <c r="C43" s="17" t="s">
        <v>369</v>
      </c>
      <c r="D43" s="46" t="s">
        <v>370</v>
      </c>
      <c r="E43" s="16" t="s">
        <v>43</v>
      </c>
      <c r="F43" s="19" t="s">
        <v>371</v>
      </c>
      <c r="G43" s="19" t="s">
        <v>372</v>
      </c>
      <c r="H43" s="19" t="s">
        <v>373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8"/>
      <c r="B44" s="28"/>
      <c r="C44" s="17" t="s">
        <v>374</v>
      </c>
      <c r="D44" s="46" t="s">
        <v>375</v>
      </c>
      <c r="E44" s="16" t="s">
        <v>43</v>
      </c>
      <c r="F44" s="19" t="s">
        <v>376</v>
      </c>
      <c r="G44" s="19" t="s">
        <v>377</v>
      </c>
      <c r="H44" s="19" t="s">
        <v>378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64" t="s">
        <v>78</v>
      </c>
      <c r="B45" s="64" t="s">
        <v>235</v>
      </c>
      <c r="C45" s="16" t="s">
        <v>379</v>
      </c>
      <c r="D45" s="19" t="s">
        <v>380</v>
      </c>
      <c r="E45" s="16"/>
      <c r="F45" s="19" t="s">
        <v>381</v>
      </c>
      <c r="G45" s="19" t="s">
        <v>382</v>
      </c>
      <c r="H45" s="19" t="s">
        <v>383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4"/>
      <c r="B46" s="24"/>
      <c r="C46" s="16" t="s">
        <v>384</v>
      </c>
      <c r="D46" s="19" t="s">
        <v>385</v>
      </c>
      <c r="E46" s="16"/>
      <c r="F46" s="19" t="s">
        <v>386</v>
      </c>
      <c r="G46" s="19" t="s">
        <v>387</v>
      </c>
      <c r="H46" s="19" t="s">
        <v>388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4"/>
      <c r="B47" s="28"/>
      <c r="C47" s="16" t="s">
        <v>389</v>
      </c>
      <c r="D47" s="19" t="s">
        <v>390</v>
      </c>
      <c r="E47" s="16"/>
      <c r="F47" s="19" t="s">
        <v>391</v>
      </c>
      <c r="G47" s="19" t="s">
        <v>392</v>
      </c>
      <c r="H47" s="19" t="s">
        <v>393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4"/>
      <c r="B48" s="64" t="s">
        <v>250</v>
      </c>
      <c r="C48" s="16" t="s">
        <v>394</v>
      </c>
      <c r="D48" s="19" t="s">
        <v>395</v>
      </c>
      <c r="E48" s="65"/>
      <c r="F48" s="19" t="s">
        <v>396</v>
      </c>
      <c r="G48" s="19" t="s">
        <v>397</v>
      </c>
      <c r="H48" s="19" t="s">
        <v>398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4"/>
      <c r="B49" s="24"/>
      <c r="C49" s="16" t="s">
        <v>399</v>
      </c>
      <c r="D49" s="19" t="s">
        <v>400</v>
      </c>
      <c r="E49" s="65"/>
      <c r="F49" s="19" t="s">
        <v>401</v>
      </c>
      <c r="G49" s="19" t="s">
        <v>397</v>
      </c>
      <c r="H49" s="19" t="s">
        <v>402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8"/>
      <c r="B50" s="28"/>
      <c r="C50" s="16" t="s">
        <v>403</v>
      </c>
      <c r="D50" s="19" t="s">
        <v>404</v>
      </c>
      <c r="E50" s="65"/>
      <c r="F50" s="19" t="s">
        <v>405</v>
      </c>
      <c r="G50" s="19" t="s">
        <v>406</v>
      </c>
      <c r="H50" s="19" t="s">
        <v>407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6" t="s">
        <v>408</v>
      </c>
      <c r="B51" s="67" t="s">
        <v>270</v>
      </c>
      <c r="C51" s="12" t="s">
        <v>409</v>
      </c>
      <c r="D51" s="68" t="s">
        <v>410</v>
      </c>
      <c r="E51" s="69" t="s">
        <v>411</v>
      </c>
      <c r="F51" s="19" t="s">
        <v>411</v>
      </c>
      <c r="G51" s="19" t="s">
        <v>412</v>
      </c>
      <c r="H51" s="19" t="s">
        <v>413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4"/>
      <c r="B52" s="24"/>
      <c r="C52" s="12" t="s">
        <v>414</v>
      </c>
      <c r="D52" s="68" t="s">
        <v>415</v>
      </c>
      <c r="E52" s="69" t="s">
        <v>416</v>
      </c>
      <c r="F52" s="19" t="s">
        <v>416</v>
      </c>
      <c r="G52" s="19" t="s">
        <v>417</v>
      </c>
      <c r="H52" s="19" t="s">
        <v>418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4"/>
      <c r="B53" s="28"/>
      <c r="C53" s="12" t="s">
        <v>419</v>
      </c>
      <c r="D53" s="68" t="s">
        <v>420</v>
      </c>
      <c r="E53" s="69" t="s">
        <v>421</v>
      </c>
      <c r="F53" s="19" t="s">
        <v>421</v>
      </c>
      <c r="G53" s="19" t="s">
        <v>422</v>
      </c>
      <c r="H53" s="19" t="s">
        <v>423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4"/>
      <c r="B54" s="67" t="s">
        <v>287</v>
      </c>
      <c r="C54" s="12" t="s">
        <v>424</v>
      </c>
      <c r="D54" s="68" t="s">
        <v>425</v>
      </c>
      <c r="E54" s="69" t="s">
        <v>426</v>
      </c>
      <c r="F54" s="19" t="s">
        <v>426</v>
      </c>
      <c r="G54" s="19" t="s">
        <v>427</v>
      </c>
      <c r="H54" s="19" t="s">
        <v>428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4"/>
      <c r="B55" s="24"/>
      <c r="C55" s="12" t="s">
        <v>429</v>
      </c>
      <c r="D55" s="68" t="s">
        <v>430</v>
      </c>
      <c r="E55" s="69" t="s">
        <v>431</v>
      </c>
      <c r="F55" s="19" t="s">
        <v>431</v>
      </c>
      <c r="G55" s="19" t="s">
        <v>417</v>
      </c>
      <c r="H55" s="19" t="s">
        <v>432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4"/>
      <c r="B56" s="28"/>
      <c r="C56" s="12" t="s">
        <v>433</v>
      </c>
      <c r="D56" s="68" t="s">
        <v>420</v>
      </c>
      <c r="E56" s="69" t="s">
        <v>434</v>
      </c>
      <c r="F56" s="19" t="s">
        <v>434</v>
      </c>
      <c r="G56" s="19" t="s">
        <v>422</v>
      </c>
      <c r="H56" s="19" t="s">
        <v>423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4"/>
      <c r="B57" s="67" t="s">
        <v>296</v>
      </c>
      <c r="C57" s="12" t="s">
        <v>435</v>
      </c>
      <c r="D57" s="68" t="s">
        <v>436</v>
      </c>
      <c r="E57" s="69" t="s">
        <v>437</v>
      </c>
      <c r="F57" s="19" t="s">
        <v>437</v>
      </c>
      <c r="G57" s="19" t="s">
        <v>427</v>
      </c>
      <c r="H57" s="19" t="s">
        <v>438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4"/>
      <c r="B58" s="24"/>
      <c r="C58" s="12" t="s">
        <v>439</v>
      </c>
      <c r="D58" s="68" t="s">
        <v>440</v>
      </c>
      <c r="E58" s="69" t="s">
        <v>441</v>
      </c>
      <c r="F58" s="19" t="s">
        <v>441</v>
      </c>
      <c r="G58" s="19" t="s">
        <v>417</v>
      </c>
      <c r="H58" s="19" t="s">
        <v>442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4"/>
      <c r="B59" s="28"/>
      <c r="C59" s="12" t="s">
        <v>443</v>
      </c>
      <c r="D59" s="68" t="s">
        <v>420</v>
      </c>
      <c r="E59" s="69" t="s">
        <v>444</v>
      </c>
      <c r="F59" s="19" t="s">
        <v>444</v>
      </c>
      <c r="G59" s="19" t="s">
        <v>422</v>
      </c>
      <c r="H59" s="19" t="s">
        <v>423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4"/>
      <c r="B60" s="67" t="s">
        <v>304</v>
      </c>
      <c r="C60" s="12" t="s">
        <v>445</v>
      </c>
      <c r="D60" s="68" t="s">
        <v>446</v>
      </c>
      <c r="E60" s="69" t="s">
        <v>447</v>
      </c>
      <c r="F60" s="19" t="s">
        <v>447</v>
      </c>
      <c r="G60" s="19" t="s">
        <v>448</v>
      </c>
      <c r="H60" s="19" t="s">
        <v>449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4"/>
      <c r="B61" s="24"/>
      <c r="C61" s="12" t="s">
        <v>450</v>
      </c>
      <c r="D61" s="68" t="s">
        <v>451</v>
      </c>
      <c r="E61" s="69" t="s">
        <v>452</v>
      </c>
      <c r="F61" s="19" t="s">
        <v>452</v>
      </c>
      <c r="G61" s="19" t="s">
        <v>417</v>
      </c>
      <c r="H61" s="19" t="s">
        <v>453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8"/>
      <c r="B62" s="28"/>
      <c r="C62" s="12" t="s">
        <v>454</v>
      </c>
      <c r="D62" s="68" t="s">
        <v>420</v>
      </c>
      <c r="E62" s="69" t="s">
        <v>444</v>
      </c>
      <c r="F62" s="19" t="s">
        <v>444</v>
      </c>
      <c r="G62" s="19" t="s">
        <v>422</v>
      </c>
      <c r="H62" s="19" t="s">
        <v>423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</sheetData>
  <mergeCells count="28">
    <mergeCell ref="A12:A20"/>
    <mergeCell ref="A21:A29"/>
    <mergeCell ref="A30:A35"/>
    <mergeCell ref="A36:A44"/>
    <mergeCell ref="A45:A50"/>
    <mergeCell ref="A51:A62"/>
    <mergeCell ref="A2:A11"/>
    <mergeCell ref="B2:B4"/>
    <mergeCell ref="B5:B7"/>
    <mergeCell ref="B8:B11"/>
    <mergeCell ref="B12:B14"/>
    <mergeCell ref="B15:B17"/>
    <mergeCell ref="B18:B20"/>
    <mergeCell ref="B40:B41"/>
    <mergeCell ref="B42:B44"/>
    <mergeCell ref="B45:B47"/>
    <mergeCell ref="B48:B50"/>
    <mergeCell ref="B51:B53"/>
    <mergeCell ref="B54:B56"/>
    <mergeCell ref="B57:B59"/>
    <mergeCell ref="B60:B62"/>
    <mergeCell ref="B21:B23"/>
    <mergeCell ref="B24:B26"/>
    <mergeCell ref="B27:B29"/>
    <mergeCell ref="B30:B32"/>
    <mergeCell ref="B33:B35"/>
    <mergeCell ref="B36:B37"/>
    <mergeCell ref="B38:B39"/>
  </mergeCells>
  <dataValidations>
    <dataValidation type="list" allowBlank="1" showErrorMessage="1" sqref="E2">
      <formula1>"Pendiente,En progreso,Cumplido"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38"/>
    <col customWidth="1" min="4" max="4" width="16.75"/>
    <col customWidth="1" min="5" max="5" width="15.88"/>
    <col customWidth="1" min="6" max="6" width="19.0"/>
  </cols>
  <sheetData>
    <row r="1">
      <c r="A1" s="10" t="s">
        <v>1</v>
      </c>
      <c r="B1" s="10" t="s">
        <v>25</v>
      </c>
      <c r="C1" s="10" t="s">
        <v>26</v>
      </c>
      <c r="D1" s="10" t="s">
        <v>30</v>
      </c>
      <c r="E1" s="10" t="s">
        <v>32</v>
      </c>
      <c r="F1" s="10" t="s">
        <v>33</v>
      </c>
    </row>
    <row r="2">
      <c r="A2" s="13" t="s">
        <v>34</v>
      </c>
      <c r="B2" s="13">
        <v>4.0</v>
      </c>
      <c r="C2" s="13">
        <v>4.0</v>
      </c>
      <c r="D2" s="13">
        <v>20.0</v>
      </c>
      <c r="E2" s="13">
        <v>14.0</v>
      </c>
      <c r="F2" s="27">
        <f t="shared" ref="F2:F6" si="1">D2/E2</f>
        <v>1.428571429</v>
      </c>
    </row>
    <row r="3">
      <c r="A3" s="13" t="s">
        <v>64</v>
      </c>
      <c r="B3" s="13">
        <v>7.0</v>
      </c>
      <c r="C3" s="13">
        <v>7.0</v>
      </c>
      <c r="D3" s="13">
        <v>34.0</v>
      </c>
      <c r="E3" s="13">
        <v>14.0</v>
      </c>
      <c r="F3" s="27">
        <f t="shared" si="1"/>
        <v>2.428571429</v>
      </c>
    </row>
    <row r="4">
      <c r="A4" s="13" t="s">
        <v>99</v>
      </c>
      <c r="B4" s="13">
        <v>6.0</v>
      </c>
      <c r="C4" s="13">
        <v>6.0</v>
      </c>
      <c r="D4" s="13">
        <v>36.0</v>
      </c>
      <c r="E4" s="13">
        <v>28.0</v>
      </c>
      <c r="F4" s="27">
        <f t="shared" si="1"/>
        <v>1.285714286</v>
      </c>
    </row>
    <row r="5">
      <c r="A5" s="13" t="s">
        <v>103</v>
      </c>
      <c r="B5" s="13">
        <v>4.0</v>
      </c>
      <c r="C5" s="13">
        <v>0.0</v>
      </c>
      <c r="D5" s="13">
        <v>0.0</v>
      </c>
      <c r="E5" s="38">
        <v>29.0</v>
      </c>
      <c r="F5" s="27">
        <f t="shared" si="1"/>
        <v>0</v>
      </c>
    </row>
    <row r="6">
      <c r="A6" s="39" t="s">
        <v>117</v>
      </c>
      <c r="B6" s="13">
        <v>21.0</v>
      </c>
      <c r="C6" s="13">
        <v>17.0</v>
      </c>
      <c r="D6" s="13">
        <v>90.0</v>
      </c>
      <c r="E6" s="13">
        <v>56.0</v>
      </c>
      <c r="F6" s="27">
        <f t="shared" si="1"/>
        <v>1.607142857</v>
      </c>
    </row>
  </sheetData>
  <drawing r:id="rId1"/>
</worksheet>
</file>